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925b9689739c821d/Desktop/"/>
    </mc:Choice>
  </mc:AlternateContent>
  <xr:revisionPtr revIDLastSave="23" documentId="11_DA9269AE8343BD37B439667B3D01524697A01041" xr6:coauthVersionLast="47" xr6:coauthVersionMax="47" xr10:uidLastSave="{5633973E-DDCC-4141-96DC-0899949C176F}"/>
  <bookViews>
    <workbookView xWindow="-110" yWindow="-110" windowWidth="19420" windowHeight="10300" activeTab="2" xr2:uid="{00000000-000D-0000-FFFF-FFFF00000000}"/>
  </bookViews>
  <sheets>
    <sheet name="Pivot Tables aur analysis" sheetId="4" r:id="rId1"/>
    <sheet name="original sales data" sheetId="1" r:id="rId2"/>
    <sheet name="final interactive dashboard" sheetId="3" r:id="rId3"/>
  </sheets>
  <definedNames>
    <definedName name="_xlnm._FilterDatabase" localSheetId="1" hidden="1">'original sales data'!$A$1:$L$601</definedName>
    <definedName name="Slicer_Category">#N/A</definedName>
    <definedName name="Slicer_Channel">#N/A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alcChain>
</file>

<file path=xl/sharedStrings.xml><?xml version="1.0" encoding="utf-8"?>
<sst xmlns="http://schemas.openxmlformats.org/spreadsheetml/2006/main" count="3660" uniqueCount="665">
  <si>
    <t>OrderID</t>
  </si>
  <si>
    <t>OrderDate</t>
  </si>
  <si>
    <t>Region</t>
  </si>
  <si>
    <t>Salesperson</t>
  </si>
  <si>
    <t>Category</t>
  </si>
  <si>
    <t>Product</t>
  </si>
  <si>
    <t>Units</t>
  </si>
  <si>
    <t>UnitPrice</t>
  </si>
  <si>
    <t>Sales</t>
  </si>
  <si>
    <t>Cost</t>
  </si>
  <si>
    <t>Profit</t>
  </si>
  <si>
    <t>Channel</t>
  </si>
  <si>
    <t>ORD0001</t>
  </si>
  <si>
    <t>West</t>
  </si>
  <si>
    <t>Imran</t>
  </si>
  <si>
    <t>Stationery</t>
  </si>
  <si>
    <t>Pen Pack</t>
  </si>
  <si>
    <t>Distributor</t>
  </si>
  <si>
    <t>ORD0002</t>
  </si>
  <si>
    <t>North</t>
  </si>
  <si>
    <t>Aarav</t>
  </si>
  <si>
    <t>Furniture</t>
  </si>
  <si>
    <t>Desk</t>
  </si>
  <si>
    <t>Retail</t>
  </si>
  <si>
    <t>ORD0003</t>
  </si>
  <si>
    <t>Rahul</t>
  </si>
  <si>
    <t>Electronics</t>
  </si>
  <si>
    <t>Monitor</t>
  </si>
  <si>
    <t>ORD0004</t>
  </si>
  <si>
    <t>South</t>
  </si>
  <si>
    <t>Kavya</t>
  </si>
  <si>
    <t>Laptop</t>
  </si>
  <si>
    <t>ORD0005</t>
  </si>
  <si>
    <t>Rohan</t>
  </si>
  <si>
    <t>Notebook</t>
  </si>
  <si>
    <t>ORD0006</t>
  </si>
  <si>
    <t>Meera</t>
  </si>
  <si>
    <t>Printer Paper</t>
  </si>
  <si>
    <t>ORD0007</t>
  </si>
  <si>
    <t>Vikram</t>
  </si>
  <si>
    <t>ORD0008</t>
  </si>
  <si>
    <t>ORD0009</t>
  </si>
  <si>
    <t>East</t>
  </si>
  <si>
    <t>ORD0010</t>
  </si>
  <si>
    <t>Neha</t>
  </si>
  <si>
    <t>ORD0011</t>
  </si>
  <si>
    <t>Accessories</t>
  </si>
  <si>
    <t>USB Drive</t>
  </si>
  <si>
    <t>ORD0012</t>
  </si>
  <si>
    <t>Keyboard</t>
  </si>
  <si>
    <t>ORD0013</t>
  </si>
  <si>
    <t>Webcam</t>
  </si>
  <si>
    <t>Online</t>
  </si>
  <si>
    <t>ORD0014</t>
  </si>
  <si>
    <t>Ananya</t>
  </si>
  <si>
    <t>ORD0015</t>
  </si>
  <si>
    <t>ORD0016</t>
  </si>
  <si>
    <t>ORD0017</t>
  </si>
  <si>
    <t>ORD0018</t>
  </si>
  <si>
    <t>ORD0019</t>
  </si>
  <si>
    <t>ORD0020</t>
  </si>
  <si>
    <t>ORD0021</t>
  </si>
  <si>
    <t>ORD0022</t>
  </si>
  <si>
    <t>Office Chair</t>
  </si>
  <si>
    <t>ORD0023</t>
  </si>
  <si>
    <t>Mouse</t>
  </si>
  <si>
    <t>ORD0024</t>
  </si>
  <si>
    <t>ORD0025</t>
  </si>
  <si>
    <t>Priya</t>
  </si>
  <si>
    <t>ORD0026</t>
  </si>
  <si>
    <t>Headset</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</si>
  <si>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</si>
  <si>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</si>
  <si>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</si>
  <si>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</si>
  <si>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</si>
  <si>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</si>
  <si>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</si>
  <si>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</si>
  <si>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</si>
  <si>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</si>
  <si>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</si>
  <si>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</si>
  <si>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</si>
  <si>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</si>
  <si>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</si>
  <si>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</si>
  <si>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</si>
  <si>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</si>
  <si>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</si>
  <si>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</si>
  <si>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</si>
  <si>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</si>
  <si>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</si>
  <si>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</si>
  <si>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</si>
  <si>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</si>
  <si>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</si>
  <si>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</si>
  <si>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</si>
  <si>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</si>
  <si>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Bookshelf</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</si>
  <si>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</si>
  <si>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</si>
  <si>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</si>
  <si>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</si>
  <si>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</si>
  <si>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</si>
  <si>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</si>
  <si>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</si>
  <si>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</si>
  <si>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</si>
  <si>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</si>
  <si>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</si>
  <si>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</si>
  <si>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</si>
  <si>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</si>
  <si>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</si>
  <si>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</si>
  <si>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</si>
  <si>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</si>
  <si>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</si>
  <si>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</si>
  <si>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</si>
  <si>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</si>
  <si>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</si>
  <si>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</si>
  <si>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</si>
  <si>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</si>
  <si>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</si>
  <si>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</si>
  <si>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</si>
  <si>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</si>
  <si>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</si>
  <si>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</si>
  <si>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</si>
  <si>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</si>
  <si>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</si>
  <si>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</si>
  <si>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</si>
  <si>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</si>
  <si>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</si>
  <si>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</si>
  <si>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</si>
  <si>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</si>
  <si>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</si>
  <si>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</si>
  <si>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</si>
  <si>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</si>
  <si>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</si>
  <si>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</si>
  <si>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</si>
  <si>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</si>
  <si>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</si>
  <si>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</si>
  <si>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</si>
  <si>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</si>
  <si>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</si>
  <si>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</si>
  <si>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</si>
  <si>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</si>
  <si>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</si>
  <si>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</si>
  <si>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</si>
  <si>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</si>
  <si>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</si>
  <si>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</si>
  <si>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</si>
  <si>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</si>
  <si>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</si>
  <si>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</si>
  <si>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</si>
  <si>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</si>
  <si>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</si>
  <si>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</si>
  <si>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</si>
  <si>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</si>
  <si>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</si>
  <si>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</si>
  <si>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</si>
  <si>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</si>
  <si>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</si>
  <si>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</si>
  <si>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</si>
  <si>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</si>
  <si>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</si>
  <si>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</si>
  <si>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</si>
  <si>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</si>
  <si>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</si>
  <si>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</si>
  <si>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</si>
  <si>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</si>
  <si>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</si>
  <si>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</si>
  <si>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</si>
  <si>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</si>
  <si>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</si>
  <si>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</si>
  <si>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</si>
  <si>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</si>
  <si>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</si>
  <si>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</si>
  <si>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</si>
  <si>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</si>
  <si>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</si>
  <si>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</si>
  <si>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</si>
  <si>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</si>
  <si>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</si>
  <si>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</si>
  <si>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</si>
  <si>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</si>
  <si>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</si>
  <si>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</si>
  <si>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</si>
  <si>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</si>
  <si>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</si>
  <si>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</si>
  <si>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</si>
  <si>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</si>
  <si>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</si>
  <si>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</si>
  <si>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</si>
  <si>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</si>
  <si>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</si>
  <si>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</si>
  <si>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</si>
  <si>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</si>
  <si>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</si>
  <si>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</si>
  <si>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</si>
  <si>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</si>
  <si>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</si>
  <si>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</si>
  <si>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</si>
  <si>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</si>
  <si>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</si>
  <si>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</si>
  <si>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</si>
  <si>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</si>
  <si>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</si>
  <si>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</si>
  <si>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</si>
  <si>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</si>
  <si>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</si>
  <si>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</si>
  <si>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</si>
  <si>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</si>
  <si>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</si>
  <si>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</si>
  <si>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</si>
  <si>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</si>
  <si>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</si>
  <si>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</si>
  <si>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</si>
  <si>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</si>
  <si>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</si>
  <si>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</si>
  <si>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</si>
  <si>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</si>
  <si>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</si>
  <si>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</si>
  <si>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</si>
  <si>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</si>
  <si>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</si>
  <si>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</si>
  <si>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</si>
  <si>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</si>
  <si>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</si>
  <si>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</si>
  <si>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</si>
  <si>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</si>
  <si>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</si>
  <si>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</si>
  <si>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</si>
  <si>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</si>
  <si>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</si>
  <si>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</si>
  <si>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</si>
  <si>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</si>
  <si>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</si>
  <si>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</si>
  <si>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</si>
  <si>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</si>
  <si>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</si>
  <si>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</si>
  <si>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</si>
  <si>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</si>
  <si>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</si>
  <si>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</si>
  <si>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</si>
  <si>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</si>
  <si>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</si>
  <si>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</si>
  <si>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</si>
  <si>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</si>
  <si>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</si>
  <si>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</si>
  <si>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</si>
  <si>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</si>
  <si>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</si>
  <si>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</si>
  <si>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</si>
  <si>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</si>
  <si>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</si>
  <si>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</si>
  <si>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</si>
  <si>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</si>
  <si>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</si>
  <si>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</si>
  <si>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</si>
  <si>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</si>
  <si>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</si>
  <si>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</si>
  <si>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</si>
  <si>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</si>
  <si>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</si>
  <si>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</si>
  <si>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</si>
  <si>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</si>
  <si>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</si>
  <si>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</si>
  <si>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</si>
  <si>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</si>
  <si>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</si>
  <si>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</si>
  <si>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</si>
  <si>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</si>
  <si>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</si>
  <si>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</si>
  <si>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</si>
  <si>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</si>
  <si>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</si>
  <si>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</si>
  <si>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</si>
  <si>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</si>
  <si>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</si>
  <si>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</si>
  <si>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</si>
  <si>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</si>
  <si>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</si>
  <si>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</si>
  <si>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</si>
  <si>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</si>
  <si>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</si>
  <si>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</si>
  <si>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</si>
  <si>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</si>
  <si>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</si>
  <si>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</si>
  <si>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</si>
  <si>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</si>
  <si>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</si>
  <si>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</si>
  <si>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</si>
  <si>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</si>
  <si>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</si>
  <si>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</si>
  <si>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</si>
  <si>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</si>
  <si>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</si>
  <si>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</si>
  <si>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</si>
  <si>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</si>
  <si>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</si>
  <si>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</si>
  <si>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</si>
  <si>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</si>
  <si>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</si>
  <si>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</si>
  <si>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</si>
  <si>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</si>
  <si>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</si>
  <si>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</si>
  <si>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</si>
  <si>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</si>
  <si>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</si>
  <si>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</si>
  <si>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</si>
  <si>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</si>
  <si>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</si>
  <si>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</si>
  <si>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</si>
  <si>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</si>
  <si>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</si>
  <si>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</si>
  <si>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</si>
  <si>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</si>
  <si>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</si>
  <si>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</si>
  <si>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</si>
  <si>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</si>
  <si>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</si>
  <si>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</si>
  <si>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</si>
  <si>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</si>
  <si>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</si>
  <si>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</si>
  <si>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</si>
  <si>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</si>
  <si>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</si>
  <si>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</si>
  <si>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</si>
  <si>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</si>
  <si>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</si>
  <si>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</si>
  <si>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</si>
  <si>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</si>
  <si>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</si>
  <si>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</si>
  <si>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</si>
  <si>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</si>
  <si>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</si>
  <si>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</si>
  <si>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</si>
  <si>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</si>
  <si>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</si>
  <si>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</si>
  <si>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</si>
  <si>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</si>
  <si>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</si>
  <si>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</si>
  <si>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</si>
  <si>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</si>
  <si>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</si>
  <si>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</si>
  <si>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</si>
  <si>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</si>
  <si>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</si>
  <si>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</si>
  <si>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</si>
  <si>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</si>
  <si>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</si>
  <si>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</si>
  <si>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</si>
  <si>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</si>
  <si>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</si>
  <si>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</si>
  <si>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</si>
  <si>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</si>
  <si>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</si>
  <si>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</si>
  <si>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</si>
  <si>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</si>
  <si>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</si>
  <si>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</si>
  <si>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</si>
  <si>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</si>
  <si>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</si>
  <si>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</si>
  <si>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</si>
  <si>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</si>
  <si>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</si>
  <si>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</si>
  <si>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</si>
  <si>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</si>
  <si>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</si>
  <si>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</si>
  <si>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</si>
  <si>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</si>
  <si>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</si>
  <si>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</si>
  <si>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</si>
  <si>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</si>
  <si>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</si>
  <si>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</si>
  <si>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</si>
  <si>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</si>
  <si>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</si>
  <si>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</si>
  <si>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</si>
  <si>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</si>
  <si>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</si>
  <si>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</si>
  <si>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</si>
  <si>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</si>
  <si>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</si>
  <si>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</si>
  <si>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</si>
  <si>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</si>
  <si>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</si>
  <si>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</si>
  <si>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</si>
  <si>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</si>
  <si>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</si>
  <si>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</si>
  <si>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</si>
  <si>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</si>
  <si>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</si>
  <si>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</si>
  <si>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</si>
  <si>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</si>
  <si>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</si>
  <si>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</si>
  <si>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</si>
  <si>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</si>
  <si>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</si>
  <si>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</si>
  <si>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</si>
  <si>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</si>
  <si>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</si>
  <si>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</si>
  <si>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</si>
  <si>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</si>
  <si>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</si>
  <si>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</si>
  <si>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</si>
  <si>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</si>
  <si>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</si>
  <si>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</si>
  <si>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</si>
  <si>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</si>
  <si>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</si>
  <si>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</si>
  <si>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</si>
  <si>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</si>
  <si>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</si>
  <si>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</si>
  <si>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</si>
  <si>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</si>
  <si>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</si>
  <si>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</si>
  <si>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</si>
  <si>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</si>
  <si>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</si>
  <si>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</si>
  <si>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</si>
  <si>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</si>
  <si>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</si>
  <si>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</si>
  <si>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</si>
  <si>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</si>
  <si>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</si>
  <si>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</si>
  <si>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</si>
  <si>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</si>
  <si>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</si>
  <si>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</si>
  <si>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</si>
  <si>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</si>
  <si>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</si>
  <si>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</si>
  <si>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</si>
  <si>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</si>
  <si>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</si>
  <si>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</si>
  <si>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</si>
  <si>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</si>
  <si>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</si>
  <si>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</si>
  <si>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</si>
  <si>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</si>
  <si>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</si>
  <si>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</si>
  <si>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</si>
  <si>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</si>
  <si>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</si>
  <si>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</si>
  <si>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</si>
  <si>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</si>
  <si>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</si>
  <si>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</si>
  <si>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</si>
  <si>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</si>
  <si>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</si>
  <si>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</si>
  <si>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</si>
  <si>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</si>
  <si>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</si>
  <si>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</si>
  <si>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</si>
  <si>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</si>
  <si>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</si>
  <si>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</si>
  <si>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</si>
  <si>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</si>
  <si>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</si>
  <si>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</si>
  <si>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</si>
  <si>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</si>
  <si>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</si>
  <si>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</si>
  <si>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</si>
  <si>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</si>
  <si>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</si>
  <si>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</si>
  <si>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</si>
  <si>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</si>
  <si>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</si>
  <si>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</si>
  <si>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</si>
  <si>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</si>
  <si>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</si>
  <si>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</si>
  <si>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</si>
  <si>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</si>
  <si>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</si>
  <si>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</si>
  <si>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</si>
  <si>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</si>
  <si>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</si>
  <si>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</si>
  <si>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</si>
  <si>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</si>
  <si>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</si>
  <si>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</si>
  <si>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</si>
  <si>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</si>
  <si>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</si>
  <si>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</si>
  <si>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</si>
  <si>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</si>
  <si>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</si>
  <si>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</si>
  <si>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</si>
  <si>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</si>
  <si>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</si>
  <si>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</si>
  <si>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</si>
  <si>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</si>
  <si>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</si>
  <si>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</si>
  <si>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</si>
  <si>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</si>
  <si>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</si>
  <si>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</si>
  <si>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</si>
  <si>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</si>
  <si>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</si>
  <si>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</si>
  <si>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</si>
  <si>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</si>
  <si>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</si>
  <si>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</si>
  <si>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</si>
  <si>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</si>
  <si>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</si>
  <si>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</si>
  <si>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</si>
  <si>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</si>
  <si>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</si>
  <si>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</si>
  <si>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</si>
  <si>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</si>
  <si>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</si>
  <si>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SALES PERFORMANCE DASHBOARD</t>
  </si>
  <si>
    <t>Profit Margin</t>
  </si>
  <si>
    <t>Row Labels</t>
  </si>
  <si>
    <t>Grand Total</t>
  </si>
  <si>
    <t>Jan</t>
  </si>
  <si>
    <t>Feb</t>
  </si>
  <si>
    <t>Mar</t>
  </si>
  <si>
    <t>Apr</t>
  </si>
  <si>
    <t>May</t>
  </si>
  <si>
    <t>Jun</t>
  </si>
  <si>
    <t>Jul</t>
  </si>
  <si>
    <t>Aug</t>
  </si>
  <si>
    <t>Sep</t>
  </si>
  <si>
    <t>Oct</t>
  </si>
  <si>
    <t>Nov</t>
  </si>
  <si>
    <t>Dec</t>
  </si>
  <si>
    <t>Sum of Sales</t>
  </si>
  <si>
    <t>Sum of Profit</t>
  </si>
  <si>
    <t>Sum of 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</si>
</sst>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
  </numFmts>
  <fonts count="5" x14ac:knownFonts="1">
    <font>
      <sz val="11"/>
      <color theme="1"/>
      <name val="Calibri"/>
      <family val="2"/>
      <scheme val="minor"/>
    </font>
    <font>
      <b/>
      <sz val="11"/>
      <color rgb="FFFFFFFF"/>
      <name val="Calibri"/>
    </font>
    <font>
      <sz val="11"/>
      <color theme="1"/>
      <name val="Calibri"/>
      <family val="2"/>
      <scheme val="minor"/>
    </font>
    <font>
      <b/>
      <sz val="11"/>
      <color rgb="FFFFFFFF"/>
      <name val="Calibri"/>
      <family val="2"/>
    </font>
    <font>
      <b/>
      <sz val="14"/>
      <color theme="1"/>
      <name val="Calibri"/>
      <family val="2"/>
      <scheme val="minor"/>
    </font>
  </fonts>
  <fills count="5">
    <fill>
      <patternFill patternType="none"/>
    </fill>
    <fill>
      <patternFill patternType="gray125"/>
    </fill>
    <fill>
      <patternFill patternType="solid">
        <fgColor rgb="FF1F4E78"/>
      </patternFill>
    </fill>
    <fill>
      <patternFill patternType="solid">
        <fgColor theme="2" tint="-0.249977111117893"/>
        <bgColor indexed="64"/>
      </patternFill>
    </fill>
    <fill>
      <patternFill patternType="solid">
        <fgColor rgb="FF1F4E78"/>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0" fillId="0" borderId="0" xfId="0" applyAlignment="1">
      <alignment horizontal="center"/>
    </xf>
    <xf numFmtId="9" fontId="0" fillId="0" borderId="0" xfId="1" applyFont="1"/>
    <xf numFmtId="10"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10" fontId="0" fillId="0" borderId="0" xfId="1" applyNumberFormat="1" applyFont="1" applyAlignment="1">
      <alignment horizontal="center"/>
    </xf>
    <xf numFmtId="0" fontId="3" fillId="4" borderId="0" xfId="0" applyFont="1" applyFill="1" applyAlignment="1">
      <alignment horizontal="center"/>
    </xf>
    <xf numFmtId="0" fontId="4" fillId="3" borderId="0" xfId="0" applyFont="1" applyFill="1" applyAlignment="1">
      <alignment horizontal="center"/>
    </xf>
  </cellXfs>
  <cellStyles count="2">
    <cellStyle name="Normal" xfId="0" builtinId="0"/>
    <cellStyle name="Percent" xfId="1" builtinId="5"/>
  </cellStyles>
  <dxfs count="7">
    <dxf>
      <numFmt numFmtId="14" formatCode="0.00%"/>
    </dxf>
    <dxf>
      <numFmt numFmtId="165" formatCode="\₹#,##0.00"/>
    </dxf>
    <dxf>
      <numFmt numFmtId="165" formatCode="\₹#,##0.00"/>
    </dxf>
    <dxf>
      <numFmt numFmtId="165" formatCode="\₹#,##0.00"/>
    </dxf>
    <dxf>
      <numFmt numFmtId="165" formatCode="\₹#,##0.00"/>
    </dxf>
    <dxf>
      <numFmt numFmtId="164" formatCode="dd\-mmm\-yyyy"/>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17"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 aur analysis!PivotTable1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aur analysis'!$B$3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Tables aur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aur analysis'!$B$4:$B$16</c:f>
              <c:numCache>
                <c:formatCode>\₹#,##0.00</c:formatCode>
                <c:ptCount val="12"/>
                <c:pt idx="0">
                  <c:v>1813101.7899999998</c:v>
                </c:pt>
                <c:pt idx="1">
                  <c:v>3844539.2600000007</c:v>
                </c:pt>
                <c:pt idx="2">
                  <c:v>3719387.419999999</c:v>
                </c:pt>
                <c:pt idx="3">
                  <c:v>2523474.4799999995</c:v>
                </c:pt>
                <c:pt idx="4">
                  <c:v>3207735.46</c:v>
                </c:pt>
                <c:pt idx="5">
                  <c:v>2574869.9699999997</c:v>
                </c:pt>
                <c:pt idx="6">
                  <c:v>2771536.37</c:v>
                </c:pt>
                <c:pt idx="7">
                  <c:v>5277575.78</c:v>
                </c:pt>
                <c:pt idx="8">
                  <c:v>3176045.62</c:v>
                </c:pt>
                <c:pt idx="9">
                  <c:v>5437317.580000001</c:v>
                </c:pt>
                <c:pt idx="10">
                  <c:v>2104139.19</c:v>
                </c:pt>
                <c:pt idx="11">
                  <c:v>1776685.28</c:v>
                </c:pt>
              </c:numCache>
            </c:numRef>
          </c:val>
          <c:smooth val="0"/>
          <c:extLst>
            <c:ext xmlns:c16="http://schemas.microsoft.com/office/drawing/2014/chart" uri="{C3380CC4-5D6E-409C-BE32-E72D297353CC}">
              <c16:uniqueId val="{00000000-98B4-493A-A329-13CBBE4D3805}"/>
            </c:ext>
          </c:extLst>
        </c:ser>
        <c:dLbls>
          <c:showLegendKey val="0"/>
          <c:showVal val="0"/>
          <c:showCatName val="0"/>
          <c:showSerName val="0"/>
          <c:showPercent val="0"/>
          <c:showBubbleSize val="0"/>
        </c:dLbls>
        <c:smooth val="0"/>
        <c:axId val="1403782304"/>
        <c:axId val="1403076048"/>
      </c:lineChart>
      <c:catAx>
        <c:axId val="140378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076048"/>
        <c:crosses val="autoZero"/>
        <c:auto val="1"/>
        <c:lblAlgn val="ctr"/>
        <c:lblOffset val="100"/>
        <c:noMultiLvlLbl val="0"/>
      </c:catAx>
      <c:valAx>
        <c:axId val="140307604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78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 aur 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aur analysis'!$F$3</c:f>
              <c:strCache>
                <c:ptCount val="1"/>
                <c:pt idx="0">
                  <c:v>Total</c:v>
                </c:pt>
              </c:strCache>
            </c:strRef>
          </c:tx>
          <c:spPr>
            <a:solidFill>
              <a:schemeClr val="accent1"/>
            </a:solidFill>
            <a:ln>
              <a:noFill/>
            </a:ln>
            <a:effectLst/>
          </c:spPr>
          <c:invertIfNegative val="0"/>
          <c:cat>
            <c:strRef>
              <c:f>'Pivot Tables aur analysis'!$E$4:$E$8</c:f>
              <c:strCache>
                <c:ptCount val="4"/>
                <c:pt idx="0">
                  <c:v>East</c:v>
                </c:pt>
                <c:pt idx="1">
                  <c:v>North</c:v>
                </c:pt>
                <c:pt idx="2">
                  <c:v>South</c:v>
                </c:pt>
                <c:pt idx="3">
                  <c:v>West</c:v>
                </c:pt>
              </c:strCache>
            </c:strRef>
          </c:cat>
          <c:val>
            <c:numRef>
              <c:f>'Pivot Tables aur analysis'!$F$4:$F$8</c:f>
              <c:numCache>
                <c:formatCode>\₹#,##0.00</c:formatCode>
                <c:ptCount val="4"/>
                <c:pt idx="0">
                  <c:v>10404063.509999996</c:v>
                </c:pt>
                <c:pt idx="1">
                  <c:v>7407232.5800000047</c:v>
                </c:pt>
                <c:pt idx="2">
                  <c:v>11147189.819999997</c:v>
                </c:pt>
                <c:pt idx="3">
                  <c:v>9267922.2900000028</c:v>
                </c:pt>
              </c:numCache>
            </c:numRef>
          </c:val>
          <c:extLst>
            <c:ext xmlns:c16="http://schemas.microsoft.com/office/drawing/2014/chart" uri="{C3380CC4-5D6E-409C-BE32-E72D297353CC}">
              <c16:uniqueId val="{00000000-F102-46CE-8915-DBFFB8B1F3CE}"/>
            </c:ext>
          </c:extLst>
        </c:ser>
        <c:dLbls>
          <c:showLegendKey val="0"/>
          <c:showVal val="0"/>
          <c:showCatName val="0"/>
          <c:showSerName val="0"/>
          <c:showPercent val="0"/>
          <c:showBubbleSize val="0"/>
        </c:dLbls>
        <c:gapWidth val="219"/>
        <c:overlap val="-27"/>
        <c:axId val="1408614272"/>
        <c:axId val="1403127888"/>
      </c:barChart>
      <c:catAx>
        <c:axId val="1408614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27888"/>
        <c:crosses val="autoZero"/>
        <c:auto val="1"/>
        <c:lblAlgn val="ctr"/>
        <c:lblOffset val="100"/>
        <c:noMultiLvlLbl val="0"/>
      </c:catAx>
      <c:valAx>
        <c:axId val="1403127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1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 aur analysis!PivotTable3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aur analysis'!$I$3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aur analysis'!$H$4:$H$8</c:f>
              <c:strCache>
                <c:ptCount val="4"/>
                <c:pt idx="0">
                  <c:v>Accessories</c:v>
                </c:pt>
                <c:pt idx="1">
                  <c:v>Electronics</c:v>
                </c:pt>
                <c:pt idx="2">
                  <c:v>Furniture</c:v>
                </c:pt>
                <c:pt idx="3">
                  <c:v>Stationery</c:v>
                </c:pt>
              </c:strCache>
            </c:strRef>
          </c:cat>
          <c:val>
            <c:numRef>
              <c:f>'Pivot Tables aur analysis'!$I$4:$I$8</c:f>
              <c:numCache>
                <c:formatCode>\₹#,##0.00</c:formatCode>
                <c:ptCount val="4"/>
                <c:pt idx="0">
                  <c:v>829337.15000000014</c:v>
                </c:pt>
                <c:pt idx="1">
                  <c:v>4877007.4000000041</c:v>
                </c:pt>
                <c:pt idx="2">
                  <c:v>3721662.1399999997</c:v>
                </c:pt>
                <c:pt idx="3">
                  <c:v>105962.23</c:v>
                </c:pt>
              </c:numCache>
            </c:numRef>
          </c:val>
          <c:extLst>
            <c:ext xmlns:c16="http://schemas.microsoft.com/office/drawing/2014/chart" uri="{C3380CC4-5D6E-409C-BE32-E72D297353CC}">
              <c16:uniqueId val="{00000001-BDF9-4E4A-BD9F-6ADF0540889A}"/>
            </c:ext>
          </c:extLst>
        </c:ser>
        <c:dLbls>
          <c:dLblPos val="outEnd"/>
          <c:showLegendKey val="0"/>
          <c:showVal val="1"/>
          <c:showCatName val="0"/>
          <c:showSerName val="0"/>
          <c:showPercent val="0"/>
          <c:showBubbleSize val="0"/>
        </c:dLbls>
        <c:gapWidth val="182"/>
        <c:axId val="1413167168"/>
        <c:axId val="1403103888"/>
      </c:barChart>
      <c:catAx>
        <c:axId val="1413167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03888"/>
        <c:crosses val="autoZero"/>
        <c:auto val="1"/>
        <c:lblAlgn val="ctr"/>
        <c:lblOffset val="100"/>
        <c:noMultiLvlLbl val="0"/>
      </c:catAx>
      <c:valAx>
        <c:axId val="14031038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16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 aur analysis!PivotTable6</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aur analysis'!$F$11</c:f>
              <c:strCache>
                <c:ptCount val="1"/>
                <c:pt idx="0">
                  <c:v>Sum of Profit</c:v>
                </c:pt>
              </c:strCache>
            </c:strRef>
          </c:tx>
          <c:spPr>
            <a:solidFill>
              <a:schemeClr val="accent1"/>
            </a:solidFill>
            <a:ln>
              <a:noFill/>
            </a:ln>
            <a:effectLst/>
          </c:spPr>
          <c:invertIfNegative val="0"/>
          <c:cat>
            <c:strRef>
              <c:f>'Pivot Tables aur analysis'!$E$12:$E$24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aur analysis'!$F$12:$F$24</c:f>
              <c:numCache>
                <c:formatCode>\₹#,##0.00</c:formatCode>
                <c:ptCount val="12"/>
                <c:pt idx="0">
                  <c:v>463668.55999999994</c:v>
                </c:pt>
                <c:pt idx="1">
                  <c:v>1016987.1299999999</c:v>
                </c:pt>
                <c:pt idx="2">
                  <c:v>911292.89000000025</c:v>
                </c:pt>
                <c:pt idx="3">
                  <c:v>620039.70999999985</c:v>
                </c:pt>
                <c:pt idx="4">
                  <c:v>872236.02999999991</c:v>
                </c:pt>
                <c:pt idx="5">
                  <c:v>663724.99</c:v>
                </c:pt>
                <c:pt idx="6">
                  <c:v>657721.14000000013</c:v>
                </c:pt>
                <c:pt idx="7">
                  <c:v>1367333.3299999998</c:v>
                </c:pt>
                <c:pt idx="8">
                  <c:v>804359.64999999979</c:v>
                </c:pt>
                <c:pt idx="9">
                  <c:v>1244307.0999999999</c:v>
                </c:pt>
                <c:pt idx="10">
                  <c:v>468251.74999999988</c:v>
                </c:pt>
                <c:pt idx="11">
                  <c:v>444046.63999999996</c:v>
                </c:pt>
              </c:numCache>
            </c:numRef>
          </c:val>
          <c:extLst>
            <c:ext xmlns:c16="http://schemas.microsoft.com/office/drawing/2014/chart" uri="{C3380CC4-5D6E-409C-BE32-E72D297353CC}">
              <c16:uniqueId val="{00000000-2DFA-469A-922C-BCCB9B4FFF09}"/>
            </c:ext>
          </c:extLst>
        </c:ser>
        <c:ser>
          <c:idx val="1"/>
          <c:order val="1"/>
          <c:tx>
            <c:strRef>
              <c:f>'Pivot Tables aur analysis'!$G$11</c:f>
              <c:strCache>
                <c:ptCount val="1"/>
                <c:pt idx="0">
                  <c:v>Sum of Sales</c:v>
                </c:pt>
              </c:strCache>
            </c:strRef>
          </c:tx>
          <c:spPr>
            <a:solidFill>
              <a:schemeClr val="accent2"/>
            </a:solidFill>
            <a:ln>
              <a:noFill/>
            </a:ln>
            <a:effectLst/>
          </c:spPr>
          <c:invertIfNegative val="0"/>
          <c:cat>
            <c:strRef>
              <c:f>'Pivot Tables aur analysis'!$E$12:$E$24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aur analysis'!$G$12:$G$24</c:f>
              <c:numCache>
                <c:formatCode>\₹#,##0.00</c:formatCode>
                <c:ptCount val="12"/>
                <c:pt idx="0">
                  <c:v>1813101.7899999998</c:v>
                </c:pt>
                <c:pt idx="1">
                  <c:v>3844539.2600000007</c:v>
                </c:pt>
                <c:pt idx="2">
                  <c:v>3719387.419999999</c:v>
                </c:pt>
                <c:pt idx="3">
                  <c:v>2523474.4799999995</c:v>
                </c:pt>
                <c:pt idx="4">
                  <c:v>3207735.46</c:v>
                </c:pt>
                <c:pt idx="5">
                  <c:v>2574869.9699999997</c:v>
                </c:pt>
                <c:pt idx="6">
                  <c:v>2771536.37</c:v>
                </c:pt>
                <c:pt idx="7">
                  <c:v>5277575.78</c:v>
                </c:pt>
                <c:pt idx="8">
                  <c:v>3176045.62</c:v>
                </c:pt>
                <c:pt idx="9">
                  <c:v>5437317.580000001</c:v>
                </c:pt>
                <c:pt idx="10">
                  <c:v>2104139.19</c:v>
                </c:pt>
                <c:pt idx="11">
                  <c:v>1776685.28</c:v>
                </c:pt>
              </c:numCache>
            </c:numRef>
          </c:val>
          <c:extLst>
            <c:ext xmlns:c16="http://schemas.microsoft.com/office/drawing/2014/chart" uri="{C3380CC4-5D6E-409C-BE32-E72D297353CC}">
              <c16:uniqueId val="{00000001-2DFA-469A-922C-BCCB9B4FFF09}"/>
            </c:ext>
          </c:extLst>
        </c:ser>
        <c:dLbls>
          <c:showLegendKey val="0"/>
          <c:showVal val="0"/>
          <c:showCatName val="0"/>
          <c:showSerName val="0"/>
          <c:showPercent val="0"/>
          <c:showBubbleSize val="0"/>
        </c:dLbls>
        <c:gapWidth val="219"/>
        <c:overlap val="-27"/>
        <c:axId val="640293711"/>
        <c:axId val="635300495"/>
      </c:barChart>
      <c:lineChart>
        <c:grouping val="standard"/>
        <c:varyColors val="0"/>
        <c:ser>
          <c:idx val="2"/>
          <c:order val="2"/>
          <c:tx>
            <c:strRef>
              <c:f>'Pivot Tables aur analysis'!$H$11</c:f>
              <c:strCache>
                <c:ptCount val="1"/>
                <c:pt idx="0">
                  <c:v>Sum of Profit Margin %</c:v>
                </c:pt>
              </c:strCache>
            </c:strRef>
          </c:tx>
          <c:spPr>
            <a:ln w="28575" cap="rnd">
              <a:solidFill>
                <a:schemeClr val="accent3"/>
              </a:solidFill>
              <a:round/>
            </a:ln>
            <a:effectLst/>
          </c:spPr>
          <c:marker>
            <c:symbol val="none"/>
          </c:marker>
          <c:cat>
            <c:strRef>
              <c:f>'Pivot Tables aur analysis'!$E$12:$E$24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aur analysis'!$H$12:$H$24</c:f>
              <c:numCache>
                <c:formatCode>0.00%</c:formatCode>
                <c:ptCount val="12"/>
                <c:pt idx="0">
                  <c:v>0.25573222780834604</c:v>
                </c:pt>
                <c:pt idx="1">
                  <c:v>0.26452770051826696</c:v>
                </c:pt>
                <c:pt idx="2">
                  <c:v>0.24501155354233051</c:v>
                </c:pt>
                <c:pt idx="3">
                  <c:v>0.24570873013148126</c:v>
                </c:pt>
                <c:pt idx="4">
                  <c:v>0.27191644724967434</c:v>
                </c:pt>
                <c:pt idx="5">
                  <c:v>0.2577702943189788</c:v>
                </c:pt>
                <c:pt idx="6">
                  <c:v>0.23731283021193048</c:v>
                </c:pt>
                <c:pt idx="7">
                  <c:v>0.25908359955373295</c:v>
                </c:pt>
                <c:pt idx="8">
                  <c:v>0.25325821673808319</c:v>
                </c:pt>
                <c:pt idx="9">
                  <c:v>0.22884576478977703</c:v>
                </c:pt>
                <c:pt idx="10">
                  <c:v>0.22253839110329954</c:v>
                </c:pt>
                <c:pt idx="11">
                  <c:v>0.24992982437497313</c:v>
                </c:pt>
              </c:numCache>
            </c:numRef>
          </c:val>
          <c:smooth val="0"/>
          <c:extLst>
            <c:ext xmlns:c16="http://schemas.microsoft.com/office/drawing/2014/chart" uri="{C3380CC4-5D6E-409C-BE32-E72D297353CC}">
              <c16:uniqueId val="{00000002-2DFA-469A-922C-BCCB9B4FFF09}"/>
            </c:ext>
          </c:extLst>
        </c:ser>
        <c:dLbls>
          <c:showLegendKey val="0"/>
          <c:showVal val="0"/>
          <c:showCatName val="0"/>
          <c:showSerName val="0"/>
          <c:showPercent val="0"/>
          <c:showBubbleSize val="0"/>
        </c:dLbls>
        <c:marker val="1"/>
        <c:smooth val="0"/>
        <c:axId val="640322943"/>
        <c:axId val="635296175"/>
      </c:lineChart>
      <c:catAx>
        <c:axId val="64029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00495"/>
        <c:crosses val="autoZero"/>
        <c:auto val="1"/>
        <c:lblAlgn val="ctr"/>
        <c:lblOffset val="100"/>
        <c:noMultiLvlLbl val="0"/>
      </c:catAx>
      <c:valAx>
        <c:axId val="635300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93711"/>
        <c:crosses val="autoZero"/>
        <c:crossBetween val="between"/>
      </c:valAx>
      <c:valAx>
        <c:axId val="63529617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322943"/>
        <c:crosses val="max"/>
        <c:crossBetween val="between"/>
      </c:valAx>
      <c:catAx>
        <c:axId val="640322943"/>
        <c:scaling>
          <c:orientation val="minMax"/>
        </c:scaling>
        <c:delete val="1"/>
        <c:axPos val="b"/>
        <c:numFmt formatCode="General" sourceLinked="1"/>
        <c:majorTickMark val="out"/>
        <c:minorTickMark val="none"/>
        <c:tickLblPos val="nextTo"/>
        <c:crossAx val="6352961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hart" Target="../charts/chart3.xml"/><Relationship Id="rId7" Type="http://schemas.openxmlformats.org/officeDocument/2006/relationships/image" Target="../media/image4.emf"/><Relationship Id="rId12"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emf"/><Relationship Id="rId11" Type="http://schemas.openxmlformats.org/officeDocument/2006/relationships/image" Target="../media/image8.emf"/><Relationship Id="rId5" Type="http://schemas.openxmlformats.org/officeDocument/2006/relationships/image" Target="../media/image2.emf"/><Relationship Id="rId10" Type="http://schemas.openxmlformats.org/officeDocument/2006/relationships/image" Target="../media/image7.emf"/><Relationship Id="rId4" Type="http://schemas.openxmlformats.org/officeDocument/2006/relationships/image" Target="../media/image1.emf"/><Relationship Id="rId9"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7</xdr:col>
      <xdr:colOff>598871</xdr:colOff>
      <xdr:row>7</xdr:row>
      <xdr:rowOff>17956</xdr:rowOff>
    </xdr:from>
    <xdr:to>
      <xdr:col>17</xdr:col>
      <xdr:colOff>459827</xdr:colOff>
      <xdr:row>17</xdr:row>
      <xdr:rowOff>10948</xdr:rowOff>
    </xdr:to>
    <xdr:graphicFrame macro="">
      <xdr:nvGraphicFramePr>
        <xdr:cNvPr id="2" name="Chart 1">
          <a:extLst>
            <a:ext uri="{FF2B5EF4-FFF2-40B4-BE49-F238E27FC236}">
              <a16:creationId xmlns:a16="http://schemas.microsoft.com/office/drawing/2014/main" id="{520FE878-BECD-4D14-A51F-BDD1CAE55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548291</xdr:colOff>
      <xdr:row>17</xdr:row>
      <xdr:rowOff>132035</xdr:rowOff>
    </xdr:from>
    <xdr:to>
      <xdr:col>13</xdr:col>
      <xdr:colOff>547413</xdr:colOff>
      <xdr:row>35</xdr:row>
      <xdr:rowOff>80059</xdr:rowOff>
    </xdr:to>
    <xdr:graphicFrame macro="">
      <xdr:nvGraphicFramePr>
        <xdr:cNvPr id="3" name="Chart 2">
          <a:extLst>
            <a:ext uri="{FF2B5EF4-FFF2-40B4-BE49-F238E27FC236}">
              <a16:creationId xmlns:a16="http://schemas.microsoft.com/office/drawing/2014/main" id="{92C801AC-E34F-4FA6-B003-A027526F0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140922</xdr:colOff>
      <xdr:row>24</xdr:row>
      <xdr:rowOff>94429</xdr:rowOff>
    </xdr:from>
    <xdr:to>
      <xdr:col>7</xdr:col>
      <xdr:colOff>359467</xdr:colOff>
      <xdr:row>34</xdr:row>
      <xdr:rowOff>120886</xdr:rowOff>
    </xdr:to>
    <xdr:graphicFrame macro="">
      <xdr:nvGraphicFramePr>
        <xdr:cNvPr id="4" name="Chart 3">
          <a:extLst>
            <a:ext uri="{FF2B5EF4-FFF2-40B4-BE49-F238E27FC236}">
              <a16:creationId xmlns:a16="http://schemas.microsoft.com/office/drawing/2014/main" id="{31E67E68-906A-4743-B8DE-FA6BAE9B8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109481</xdr:colOff>
      <xdr:row>19</xdr:row>
      <xdr:rowOff>87150</xdr:rowOff>
    </xdr:from>
    <xdr:to>
      <xdr:col>17</xdr:col>
      <xdr:colOff>198381</xdr:colOff>
      <xdr:row>27</xdr:row>
      <xdr:rowOff>76638</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E3E2889E-729C-C106-5DB7-472244B2E1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75521" y="3601655"/>
              <a:ext cx="1918454" cy="1448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32844</xdr:colOff>
      <xdr:row>14</xdr:row>
      <xdr:rowOff>131378</xdr:rowOff>
    </xdr:from>
    <xdr:to>
      <xdr:col>1</xdr:col>
      <xdr:colOff>525516</xdr:colOff>
      <xdr:row>23</xdr:row>
      <xdr:rowOff>91089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ADF22C3-AB0B-B787-6032-43E823C5A6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844" y="2734249"/>
              <a:ext cx="1309999" cy="1600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148898</xdr:rowOff>
    </xdr:from>
    <xdr:to>
      <xdr:col>1</xdr:col>
      <xdr:colOff>484351</xdr:colOff>
      <xdr:row>13</xdr:row>
      <xdr:rowOff>164225</xdr:rowOff>
    </xdr:to>
    <mc:AlternateContent xmlns:mc="http://schemas.openxmlformats.org/markup-compatibility/2006" xmlns:a14="http://schemas.microsoft.com/office/drawing/2010/main">
      <mc:Choice Requires="a14">
        <xdr:graphicFrame macro="">
          <xdr:nvGraphicFramePr>
            <xdr:cNvPr id="10" name="Channel">
              <a:extLst>
                <a:ext uri="{FF2B5EF4-FFF2-40B4-BE49-F238E27FC236}">
                  <a16:creationId xmlns:a16="http://schemas.microsoft.com/office/drawing/2014/main" id="{48104B2D-6995-3E1B-6C49-29B8F3D505A3}"/>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0" y="1293155"/>
              <a:ext cx="1301678" cy="1291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xdr:row>
      <xdr:rowOff>12700</xdr:rowOff>
    </xdr:from>
    <xdr:to>
      <xdr:col>3</xdr:col>
      <xdr:colOff>19050</xdr:colOff>
      <xdr:row>5</xdr:row>
      <xdr:rowOff>158750</xdr:rowOff>
    </xdr:to>
    <xdr:grpSp>
      <xdr:nvGrpSpPr>
        <xdr:cNvPr id="14" name="Group 13">
          <a:extLst>
            <a:ext uri="{FF2B5EF4-FFF2-40B4-BE49-F238E27FC236}">
              <a16:creationId xmlns:a16="http://schemas.microsoft.com/office/drawing/2014/main" id="{D0CE1029-3F9E-3021-DE28-9FE5BD7EADCB}"/>
            </a:ext>
          </a:extLst>
        </xdr:cNvPr>
        <xdr:cNvGrpSpPr/>
      </xdr:nvGrpSpPr>
      <xdr:grpSpPr>
        <a:xfrm>
          <a:off x="0" y="428336"/>
          <a:ext cx="2385868" cy="700232"/>
          <a:chOff x="1974850" y="431800"/>
          <a:chExt cx="2381250" cy="698500"/>
        </a:xfrm>
      </xdr:grpSpPr>
      <xdr:sp macro="" textlink="">
        <xdr:nvSpPr>
          <xdr:cNvPr id="11" name="Rectangle 10">
            <a:extLst>
              <a:ext uri="{FF2B5EF4-FFF2-40B4-BE49-F238E27FC236}">
                <a16:creationId xmlns:a16="http://schemas.microsoft.com/office/drawing/2014/main" id="{0C2137F5-2A7E-9EED-FB1F-2B7632AA291E}"/>
              </a:ext>
            </a:extLst>
          </xdr:cNvPr>
          <xdr:cNvSpPr/>
        </xdr:nvSpPr>
        <xdr:spPr>
          <a:xfrm>
            <a:off x="1974850" y="431800"/>
            <a:ext cx="2381250" cy="6985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 name="Picture 11">
            <a:extLst>
              <a:ext uri="{FF2B5EF4-FFF2-40B4-BE49-F238E27FC236}">
                <a16:creationId xmlns:a16="http://schemas.microsoft.com/office/drawing/2014/main" id="{8ECEA8A0-D6D8-3545-E390-D571701C2F5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01850" y="488949"/>
            <a:ext cx="2146300" cy="285751"/>
          </a:xfrm>
          <a:prstGeom prst="rect">
            <a:avLst/>
          </a:prstGeom>
          <a:solidFill>
            <a:schemeClr val="bg1">
              <a:lumMod val="85000"/>
            </a:schemeClr>
          </a:solidFill>
        </xdr:spPr>
      </xdr:pic>
      <xdr:pic>
        <xdr:nvPicPr>
          <xdr:cNvPr id="13" name="Picture 12">
            <a:extLst>
              <a:ext uri="{FF2B5EF4-FFF2-40B4-BE49-F238E27FC236}">
                <a16:creationId xmlns:a16="http://schemas.microsoft.com/office/drawing/2014/main" id="{0D676F49-E84B-3CEC-AE7F-E06D2597808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317750" y="819150"/>
            <a:ext cx="1644650" cy="263868"/>
          </a:xfrm>
          <a:prstGeom prst="rect">
            <a:avLst/>
          </a:prstGeom>
          <a:solidFill>
            <a:schemeClr val="accent3">
              <a:lumMod val="20000"/>
              <a:lumOff val="80000"/>
            </a:schemeClr>
          </a:solidFill>
        </xdr:spPr>
      </xdr:pic>
    </xdr:grpSp>
    <xdr:clientData/>
  </xdr:twoCellAnchor>
  <xdr:twoCellAnchor>
    <xdr:from>
      <xdr:col>4</xdr:col>
      <xdr:colOff>38100</xdr:colOff>
      <xdr:row>1</xdr:row>
      <xdr:rowOff>177800</xdr:rowOff>
    </xdr:from>
    <xdr:to>
      <xdr:col>7</xdr:col>
      <xdr:colOff>590550</xdr:colOff>
      <xdr:row>5</xdr:row>
      <xdr:rowOff>139700</xdr:rowOff>
    </xdr:to>
    <xdr:grpSp>
      <xdr:nvGrpSpPr>
        <xdr:cNvPr id="21" name="Group 20">
          <a:extLst>
            <a:ext uri="{FF2B5EF4-FFF2-40B4-BE49-F238E27FC236}">
              <a16:creationId xmlns:a16="http://schemas.microsoft.com/office/drawing/2014/main" id="{EE242CF1-9536-D1EA-D178-0CCF08014EA9}"/>
            </a:ext>
          </a:extLst>
        </xdr:cNvPr>
        <xdr:cNvGrpSpPr/>
      </xdr:nvGrpSpPr>
      <xdr:grpSpPr>
        <a:xfrm>
          <a:off x="3016827" y="408709"/>
          <a:ext cx="2388178" cy="700809"/>
          <a:chOff x="4800600" y="603250"/>
          <a:chExt cx="2381250" cy="698500"/>
        </a:xfrm>
      </xdr:grpSpPr>
      <xdr:sp macro="" textlink="">
        <xdr:nvSpPr>
          <xdr:cNvPr id="16" name="Rectangle 15">
            <a:extLst>
              <a:ext uri="{FF2B5EF4-FFF2-40B4-BE49-F238E27FC236}">
                <a16:creationId xmlns:a16="http://schemas.microsoft.com/office/drawing/2014/main" id="{D510EE88-53CB-7560-2D23-805AF57A2F22}"/>
              </a:ext>
            </a:extLst>
          </xdr:cNvPr>
          <xdr:cNvSpPr/>
        </xdr:nvSpPr>
        <xdr:spPr>
          <a:xfrm>
            <a:off x="4800600" y="603250"/>
            <a:ext cx="2381250" cy="6985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9" name="Picture 18">
            <a:extLst>
              <a:ext uri="{FF2B5EF4-FFF2-40B4-BE49-F238E27FC236}">
                <a16:creationId xmlns:a16="http://schemas.microsoft.com/office/drawing/2014/main" id="{8E262B93-CB72-45BF-B88C-4741EFD9427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921250" y="647699"/>
            <a:ext cx="2254250" cy="285751"/>
          </a:xfrm>
          <a:prstGeom prst="rect">
            <a:avLst/>
          </a:prstGeom>
          <a:solidFill>
            <a:schemeClr val="bg1">
              <a:lumMod val="85000"/>
            </a:schemeClr>
          </a:solidFill>
        </xdr:spPr>
      </xdr:pic>
      <xdr:pic>
        <xdr:nvPicPr>
          <xdr:cNvPr id="20" name="Picture 19">
            <a:extLst>
              <a:ext uri="{FF2B5EF4-FFF2-40B4-BE49-F238E27FC236}">
                <a16:creationId xmlns:a16="http://schemas.microsoft.com/office/drawing/2014/main" id="{46591A92-BCB9-9CAD-5A9A-69666660BF4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162550" y="981760"/>
            <a:ext cx="1676400" cy="269190"/>
          </a:xfrm>
          <a:prstGeom prst="rect">
            <a:avLst/>
          </a:prstGeom>
          <a:solidFill>
            <a:schemeClr val="accent3">
              <a:lumMod val="20000"/>
              <a:lumOff val="80000"/>
            </a:schemeClr>
          </a:solidFill>
        </xdr:spPr>
      </xdr:pic>
    </xdr:grpSp>
    <xdr:clientData/>
  </xdr:twoCellAnchor>
  <xdr:twoCellAnchor>
    <xdr:from>
      <xdr:col>9</xdr:col>
      <xdr:colOff>44450</xdr:colOff>
      <xdr:row>1</xdr:row>
      <xdr:rowOff>177800</xdr:rowOff>
    </xdr:from>
    <xdr:to>
      <xdr:col>12</xdr:col>
      <xdr:colOff>596900</xdr:colOff>
      <xdr:row>5</xdr:row>
      <xdr:rowOff>139700</xdr:rowOff>
    </xdr:to>
    <xdr:grpSp>
      <xdr:nvGrpSpPr>
        <xdr:cNvPr id="26" name="Group 25">
          <a:extLst>
            <a:ext uri="{FF2B5EF4-FFF2-40B4-BE49-F238E27FC236}">
              <a16:creationId xmlns:a16="http://schemas.microsoft.com/office/drawing/2014/main" id="{671E4797-335B-B210-024D-C9599588A3A5}"/>
            </a:ext>
          </a:extLst>
        </xdr:cNvPr>
        <xdr:cNvGrpSpPr/>
      </xdr:nvGrpSpPr>
      <xdr:grpSpPr>
        <a:xfrm>
          <a:off x="6082723" y="408709"/>
          <a:ext cx="2388177" cy="700809"/>
          <a:chOff x="7239000" y="419100"/>
          <a:chExt cx="2381250" cy="698500"/>
        </a:xfrm>
      </xdr:grpSpPr>
      <xdr:sp macro="" textlink="">
        <xdr:nvSpPr>
          <xdr:cNvPr id="22" name="Rectangle 21">
            <a:extLst>
              <a:ext uri="{FF2B5EF4-FFF2-40B4-BE49-F238E27FC236}">
                <a16:creationId xmlns:a16="http://schemas.microsoft.com/office/drawing/2014/main" id="{ABB407C4-CD0C-4B4C-A6E6-A9871229A58E}"/>
              </a:ext>
            </a:extLst>
          </xdr:cNvPr>
          <xdr:cNvSpPr/>
        </xdr:nvSpPr>
        <xdr:spPr>
          <a:xfrm>
            <a:off x="7239000" y="419100"/>
            <a:ext cx="2381250" cy="6985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3" name="Picture 22">
            <a:extLst>
              <a:ext uri="{FF2B5EF4-FFF2-40B4-BE49-F238E27FC236}">
                <a16:creationId xmlns:a16="http://schemas.microsoft.com/office/drawing/2014/main" id="{743967B4-0394-5BD4-182F-A5D5FF741D9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340600" y="450849"/>
            <a:ext cx="2203450" cy="279401"/>
          </a:xfrm>
          <a:prstGeom prst="rect">
            <a:avLst/>
          </a:prstGeom>
          <a:solidFill>
            <a:schemeClr val="bg1">
              <a:lumMod val="85000"/>
            </a:schemeClr>
          </a:solidFill>
        </xdr:spPr>
      </xdr:pic>
      <xdr:pic>
        <xdr:nvPicPr>
          <xdr:cNvPr id="25" name="Picture 24">
            <a:extLst>
              <a:ext uri="{FF2B5EF4-FFF2-40B4-BE49-F238E27FC236}">
                <a16:creationId xmlns:a16="http://schemas.microsoft.com/office/drawing/2014/main" id="{A31C7D52-F42F-1A83-8FCC-0AEBB930140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486650" y="793749"/>
            <a:ext cx="1885950" cy="266701"/>
          </a:xfrm>
          <a:prstGeom prst="rect">
            <a:avLst/>
          </a:prstGeom>
          <a:solidFill>
            <a:schemeClr val="accent3">
              <a:lumMod val="20000"/>
              <a:lumOff val="80000"/>
            </a:schemeClr>
          </a:solidFill>
        </xdr:spPr>
      </xdr:pic>
    </xdr:grpSp>
    <xdr:clientData/>
  </xdr:twoCellAnchor>
  <xdr:twoCellAnchor>
    <xdr:from>
      <xdr:col>14</xdr:col>
      <xdr:colOff>25400</xdr:colOff>
      <xdr:row>2</xdr:row>
      <xdr:rowOff>19050</xdr:rowOff>
    </xdr:from>
    <xdr:to>
      <xdr:col>17</xdr:col>
      <xdr:colOff>577850</xdr:colOff>
      <xdr:row>5</xdr:row>
      <xdr:rowOff>165100</xdr:rowOff>
    </xdr:to>
    <xdr:grpSp>
      <xdr:nvGrpSpPr>
        <xdr:cNvPr id="33" name="Group 32">
          <a:extLst>
            <a:ext uri="{FF2B5EF4-FFF2-40B4-BE49-F238E27FC236}">
              <a16:creationId xmlns:a16="http://schemas.microsoft.com/office/drawing/2014/main" id="{CD9C5CFC-AD41-902C-E969-BD6BE009670D}"/>
            </a:ext>
          </a:extLst>
        </xdr:cNvPr>
        <xdr:cNvGrpSpPr/>
      </xdr:nvGrpSpPr>
      <xdr:grpSpPr>
        <a:xfrm>
          <a:off x="9123218" y="434686"/>
          <a:ext cx="2388177" cy="700232"/>
          <a:chOff x="7239000" y="1524000"/>
          <a:chExt cx="2381250" cy="698500"/>
        </a:xfrm>
      </xdr:grpSpPr>
      <xdr:sp macro="" textlink="">
        <xdr:nvSpPr>
          <xdr:cNvPr id="28" name="Rectangle 27">
            <a:extLst>
              <a:ext uri="{FF2B5EF4-FFF2-40B4-BE49-F238E27FC236}">
                <a16:creationId xmlns:a16="http://schemas.microsoft.com/office/drawing/2014/main" id="{354D8A5F-C15A-1A75-8BBA-48B2564CD7DE}"/>
              </a:ext>
            </a:extLst>
          </xdr:cNvPr>
          <xdr:cNvSpPr/>
        </xdr:nvSpPr>
        <xdr:spPr>
          <a:xfrm>
            <a:off x="7239000" y="1524000"/>
            <a:ext cx="2381250" cy="6985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1" name="Picture 30">
            <a:extLst>
              <a:ext uri="{FF2B5EF4-FFF2-40B4-BE49-F238E27FC236}">
                <a16:creationId xmlns:a16="http://schemas.microsoft.com/office/drawing/2014/main" id="{456146E4-95A1-5B49-18A4-379EBA6676C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391400" y="1568449"/>
            <a:ext cx="2063750" cy="266701"/>
          </a:xfrm>
          <a:prstGeom prst="rect">
            <a:avLst/>
          </a:prstGeom>
          <a:solidFill>
            <a:schemeClr val="bg1">
              <a:lumMod val="85000"/>
            </a:schemeClr>
          </a:solidFill>
        </xdr:spPr>
      </xdr:pic>
      <xdr:pic>
        <xdr:nvPicPr>
          <xdr:cNvPr id="32" name="Picture 31">
            <a:extLst>
              <a:ext uri="{FF2B5EF4-FFF2-40B4-BE49-F238E27FC236}">
                <a16:creationId xmlns:a16="http://schemas.microsoft.com/office/drawing/2014/main" id="{6DEFD518-7FC5-FE10-8192-B80124D302E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600950" y="1911350"/>
            <a:ext cx="1809750" cy="273050"/>
          </a:xfrm>
          <a:prstGeom prst="rect">
            <a:avLst/>
          </a:prstGeom>
          <a:solidFill>
            <a:schemeClr val="accent3">
              <a:lumMod val="20000"/>
              <a:lumOff val="80000"/>
            </a:schemeClr>
          </a:solidFill>
        </xdr:spPr>
      </xdr:pic>
    </xdr:grpSp>
    <xdr:clientData/>
  </xdr:twoCellAnchor>
  <xdr:twoCellAnchor>
    <xdr:from>
      <xdr:col>1</xdr:col>
      <xdr:colOff>584703</xdr:colOff>
      <xdr:row>6</xdr:row>
      <xdr:rowOff>125743</xdr:rowOff>
    </xdr:from>
    <xdr:to>
      <xdr:col>7</xdr:col>
      <xdr:colOff>509259</xdr:colOff>
      <xdr:row>23</xdr:row>
      <xdr:rowOff>88019</xdr:rowOff>
    </xdr:to>
    <xdr:graphicFrame macro="">
      <xdr:nvGraphicFramePr>
        <xdr:cNvPr id="6" name="Chart 5">
          <a:extLst>
            <a:ext uri="{FF2B5EF4-FFF2-40B4-BE49-F238E27FC236}">
              <a16:creationId xmlns:a16="http://schemas.microsoft.com/office/drawing/2014/main" id="{437D882F-1771-4EE6-9C93-BB0250C73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 refreshedDate="46310.850448032405" createdVersion="8" refreshedVersion="8" minRefreshableVersion="3" recordCount="600" xr:uid="{CDE406E8-5F02-49FC-89E0-DED636B297E0}">
  <cacheSource type="worksheet">
    <worksheetSource name="SalesTable"/>
  </cacheSource>
  <cacheFields count="16">
    <cacheField name="OrderID" numFmtId="0">
      <sharedItems/>
    </cacheField>
    <cacheField name="OrderDate" numFmtId="164">
      <sharedItems containsSemiMixedTypes="0" containsNonDate="0" containsDate="1" containsString="0" minDate="2025-01-01T00:00:00" maxDate="2026-01-01T00:00:00" count="293">
        <d v="2025-09-25T00:00:00"/>
        <d v="2025-05-23T00:00:00"/>
        <d v="2025-11-24T00:00:00"/>
        <d v="2025-12-18T00:00:00"/>
        <d v="2025-07-01T00:00:00"/>
        <d v="2025-04-20T00:00:00"/>
        <d v="2025-11-06T00:00:00"/>
        <d v="2025-10-24T00:00:00"/>
        <d v="2025-11-21T00:00:00"/>
        <d v="2025-01-11T00:00:00"/>
        <d v="2025-03-19T00:00:00"/>
        <d v="2025-02-17T00:00:00"/>
        <d v="2025-04-26T00:00:00"/>
        <d v="2025-09-07T00:00:00"/>
        <d v="2025-04-28T00:00:00"/>
        <d v="2025-09-23T00:00:00"/>
        <d v="2025-06-10T00:00:00"/>
        <d v="2025-02-24T00:00:00"/>
        <d v="2025-10-09T00:00:00"/>
        <d v="2025-06-22T00:00:00"/>
        <d v="2025-02-27T00:00:00"/>
        <d v="2025-11-29T00:00:00"/>
        <d v="2025-05-15T00:00:00"/>
        <d v="2025-01-04T00:00:00"/>
        <d v="2025-05-05T00:00:00"/>
        <d v="2025-12-17T00:00:00"/>
        <d v="2025-03-20T00:00:00"/>
        <d v="2025-05-01T00:00:00"/>
        <d v="2025-03-07T00:00:00"/>
        <d v="2025-06-21T00:00:00"/>
        <d v="2025-02-07T00:00:00"/>
        <d v="2025-07-16T00:00:00"/>
        <d v="2025-11-17T00:00:00"/>
        <d v="2025-07-12T00:00:00"/>
        <d v="2025-10-26T00:00:00"/>
        <d v="2025-03-25T00:00:00"/>
        <d v="2025-10-27T00:00:00"/>
        <d v="2025-03-30T00:00:00"/>
        <d v="2025-04-05T00:00:00"/>
        <d v="2025-03-05T00:00:00"/>
        <d v="2025-06-09T00:00:00"/>
        <d v="2025-05-26T00:00:00"/>
        <d v="2025-09-14T00:00:00"/>
        <d v="2025-07-07T00:00:00"/>
        <d v="2025-11-09T00:00:00"/>
        <d v="2025-01-25T00:00:00"/>
        <d v="2025-06-03T00:00:00"/>
        <d v="2025-08-25T00:00:00"/>
        <d v="2025-10-20T00:00:00"/>
        <d v="2025-09-08T00:00:00"/>
        <d v="2025-03-08T00:00:00"/>
        <d v="2025-11-14T00:00:00"/>
        <d v="2025-01-27T00:00:00"/>
        <d v="2025-07-05T00:00:00"/>
        <d v="2025-12-25T00:00:00"/>
        <d v="2025-08-16T00:00:00"/>
        <d v="2025-04-09T00:00:00"/>
        <d v="2025-05-18T00:00:00"/>
        <d v="2025-04-07T00:00:00"/>
        <d v="2025-11-07T00:00:00"/>
        <d v="2025-10-25T00:00:00"/>
        <d v="2025-12-01T00:00:00"/>
        <d v="2025-06-24T00:00:00"/>
        <d v="2025-08-26T00:00:00"/>
        <d v="2025-02-21T00:00:00"/>
        <d v="2025-11-03T00:00:00"/>
        <d v="2025-01-16T00:00:00"/>
        <d v="2025-10-30T00:00:00"/>
        <d v="2025-05-22T00:00:00"/>
        <d v="2025-07-28T00:00:00"/>
        <d v="2025-11-23T00:00:00"/>
        <d v="2025-09-12T00:00:00"/>
        <d v="2025-02-15T00:00:00"/>
        <d v="2025-04-19T00:00:00"/>
        <d v="2025-10-21T00:00:00"/>
        <d v="2025-10-19T00:00:00"/>
        <d v="2025-07-09T00:00:00"/>
        <d v="2025-12-26T00:00:00"/>
        <d v="2025-08-22T00:00:00"/>
        <d v="2025-04-03T00:00:00"/>
        <d v="2025-10-01T00:00:00"/>
        <d v="2025-05-04T00:00:00"/>
        <d v="2025-06-23T00:00:00"/>
        <d v="2025-08-27T00:00:00"/>
        <d v="2025-05-07T00:00:00"/>
        <d v="2025-12-16T00:00:00"/>
        <d v="2025-06-26T00:00:00"/>
        <d v="2025-05-03T00:00:00"/>
        <d v="2025-12-07T00:00:00"/>
        <d v="2025-11-05T00:00:00"/>
        <d v="2025-01-13T00:00:00"/>
        <d v="2025-08-08T00:00:00"/>
        <d v="2025-01-31T00:00:00"/>
        <d v="2025-09-20T00:00:00"/>
        <d v="2025-10-14T00:00:00"/>
        <d v="2025-07-27T00:00:00"/>
        <d v="2025-12-13T00:00:00"/>
        <d v="2025-03-12T00:00:00"/>
        <d v="2025-01-17T00:00:00"/>
        <d v="2025-09-18T00:00:00"/>
        <d v="2025-11-30T00:00:00"/>
        <d v="2025-05-13T00:00:00"/>
        <d v="2025-06-07T00:00:00"/>
        <d v="2025-04-27T00:00:00"/>
        <d v="2025-05-08T00:00:00"/>
        <d v="2025-04-12T00:00:00"/>
        <d v="2025-10-23T00:00:00"/>
        <d v="2025-09-01T00:00:00"/>
        <d v="2025-08-24T00:00:00"/>
        <d v="2025-06-11T00:00:00"/>
        <d v="2025-06-05T00:00:00"/>
        <d v="2025-02-13T00:00:00"/>
        <d v="2025-11-20T00:00:00"/>
        <d v="2025-03-24T00:00:00"/>
        <d v="2025-05-16T00:00:00"/>
        <d v="2025-08-09T00:00:00"/>
        <d v="2025-09-16T00:00:00"/>
        <d v="2025-03-23T00:00:00"/>
        <d v="2025-10-04T00:00:00"/>
        <d v="2025-04-23T00:00:00"/>
        <d v="2025-07-24T00:00:00"/>
        <d v="2025-01-10T00:00:00"/>
        <d v="2025-02-02T00:00:00"/>
        <d v="2025-05-27T00:00:00"/>
        <d v="2025-09-02T00:00:00"/>
        <d v="2025-01-21T00:00:00"/>
        <d v="2025-03-31T00:00:00"/>
        <d v="2025-08-01T00:00:00"/>
        <d v="2025-02-10T00:00:00"/>
        <d v="2025-12-04T00:00:00"/>
        <d v="2025-05-21T00:00:00"/>
        <d v="2025-09-30T00:00:00"/>
        <d v="2025-04-15T00:00:00"/>
        <d v="2025-05-20T00:00:00"/>
        <d v="2025-08-12T00:00:00"/>
        <d v="2025-09-27T00:00:00"/>
        <d v="2025-12-10T00:00:00"/>
        <d v="2025-02-12T00:00:00"/>
        <d v="2025-09-15T00:00:00"/>
        <d v="2025-07-04T00:00:00"/>
        <d v="2025-06-14T00:00:00"/>
        <d v="2025-01-19T00:00:00"/>
        <d v="2025-02-25T00:00:00"/>
        <d v="2025-12-31T00:00:00"/>
        <d v="2025-10-06T00:00:00"/>
        <d v="2025-11-04T00:00:00"/>
        <d v="2025-10-03T00:00:00"/>
        <d v="2025-09-22T00:00:00"/>
        <d v="2025-09-09T00:00:00"/>
        <d v="2025-08-07T00:00:00"/>
        <d v="2025-07-18T00:00:00"/>
        <d v="2025-06-02T00:00:00"/>
        <d v="2025-01-23T00:00:00"/>
        <d v="2025-01-02T00:00:00"/>
        <d v="2025-06-20T00:00:00"/>
        <d v="2025-10-02T00:00:00"/>
        <d v="2025-02-20T00:00:00"/>
        <d v="2025-03-21T00:00:00"/>
        <d v="2025-01-18T00:00:00"/>
        <d v="2025-01-28T00:00:00"/>
        <d v="2025-06-17T00:00:00"/>
        <d v="2025-07-10T00:00:00"/>
        <d v="2025-12-20T00:00:00"/>
        <d v="2025-02-28T00:00:00"/>
        <d v="2025-07-22T00:00:00"/>
        <d v="2025-04-08T00:00:00"/>
        <d v="2025-09-11T00:00:00"/>
        <d v="2025-04-02T00:00:00"/>
        <d v="2025-10-31T00:00:00"/>
        <d v="2025-11-28T00:00:00"/>
        <d v="2025-10-05T00:00:00"/>
        <d v="2025-01-05T00:00:00"/>
        <d v="2025-04-04T00:00:00"/>
        <d v="2025-02-14T00:00:00"/>
        <d v="2025-07-11T00:00:00"/>
        <d v="2025-06-28T00:00:00"/>
        <d v="2025-05-28T00:00:00"/>
        <d v="2025-02-18T00:00:00"/>
        <d v="2025-01-20T00:00:00"/>
        <d v="2025-08-11T00:00:00"/>
        <d v="2025-04-24T00:00:00"/>
        <d v="2025-11-25T00:00:00"/>
        <d v="2025-10-11T00:00:00"/>
        <d v="2025-02-06T00:00:00"/>
        <d v="2025-04-10T00:00:00"/>
        <d v="2025-12-06T00:00:00"/>
        <d v="2025-04-13T00:00:00"/>
        <d v="2025-06-16T00:00:00"/>
        <d v="2025-04-25T00:00:00"/>
        <d v="2025-01-01T00:00:00"/>
        <d v="2025-01-24T00:00:00"/>
        <d v="2025-07-13T00:00:00"/>
        <d v="2025-03-22T00:00:00"/>
        <d v="2025-04-18T00:00:00"/>
        <d v="2025-09-28T00:00:00"/>
        <d v="2025-01-06T00:00:00"/>
        <d v="2025-08-14T00:00:00"/>
        <d v="2025-12-27T00:00:00"/>
        <d v="2025-03-04T00:00:00"/>
        <d v="2025-04-30T00:00:00"/>
        <d v="2025-05-09T00:00:00"/>
        <d v="2025-08-04T00:00:00"/>
        <d v="2025-02-04T00:00:00"/>
        <d v="2025-12-24T00:00:00"/>
        <d v="2025-02-26T00:00:00"/>
        <d v="2025-04-22T00:00:00"/>
        <d v="2025-12-11T00:00:00"/>
        <d v="2025-05-14T00:00:00"/>
        <d v="2025-08-17T00:00:00"/>
        <d v="2025-03-17T00:00:00"/>
        <d v="2025-10-22T00:00:00"/>
        <d v="2025-01-29T00:00:00"/>
        <d v="2025-11-13T00:00:00"/>
        <d v="2025-11-10T00:00:00"/>
        <d v="2025-05-30T00:00:00"/>
        <d v="2025-01-12T00:00:00"/>
        <d v="2025-02-19T00:00:00"/>
        <d v="2025-11-18T00:00:00"/>
        <d v="2025-05-24T00:00:00"/>
        <d v="2025-08-23T00:00:00"/>
        <d v="2025-05-10T00:00:00"/>
        <d v="2025-03-10T00:00:00"/>
        <d v="2025-05-06T00:00:00"/>
        <d v="2025-08-21T00:00:00"/>
        <d v="2025-07-26T00:00:00"/>
        <d v="2025-11-15T00:00:00"/>
        <d v="2025-04-14T00:00:00"/>
        <d v="2025-07-15T00:00:00"/>
        <d v="2025-07-23T00:00:00"/>
        <d v="2025-05-17T00:00:00"/>
        <d v="2025-07-20T00:00:00"/>
        <d v="2025-02-23T00:00:00"/>
        <d v="2025-10-18T00:00:00"/>
        <d v="2025-08-28T00:00:00"/>
        <d v="2025-08-06T00:00:00"/>
        <d v="2025-07-03T00:00:00"/>
        <d v="2025-03-13T00:00:00"/>
        <d v="2025-03-06T00:00:00"/>
        <d v="2025-11-22T00:00:00"/>
        <d v="2025-04-11T00:00:00"/>
        <d v="2025-05-25T00:00:00"/>
        <d v="2025-03-16T00:00:00"/>
        <d v="2025-07-02T00:00:00"/>
        <d v="2025-02-05T00:00:00"/>
        <d v="2025-08-13T00:00:00"/>
        <d v="2025-11-16T00:00:00"/>
        <d v="2025-09-10T00:00:00"/>
        <d v="2025-11-19T00:00:00"/>
        <d v="2025-12-22T00:00:00"/>
        <d v="2025-03-02T00:00:00"/>
        <d v="2025-09-05T00:00:00"/>
        <d v="2025-04-16T00:00:00"/>
        <d v="2025-09-03T00:00:00"/>
        <d v="2025-05-31T00:00:00"/>
        <d v="2025-08-15T00:00:00"/>
        <d v="2025-02-08T00:00:00"/>
        <d v="2025-03-29T00:00:00"/>
        <d v="2025-10-29T00:00:00"/>
        <d v="2025-12-08T00:00:00"/>
        <d v="2025-11-26T00:00:00"/>
        <d v="2025-04-01T00:00:00"/>
        <d v="2025-02-09T00:00:00"/>
        <d v="2025-10-16T00:00:00"/>
        <d v="2025-06-04T00:00:00"/>
        <d v="2025-01-26T00:00:00"/>
        <d v="2025-10-28T00:00:00"/>
        <d v="2025-10-13T00:00:00"/>
        <d v="2025-04-21T00:00:00"/>
        <d v="2025-06-06T00:00:00"/>
        <d v="2025-11-08T00:00:00"/>
        <d v="2025-03-09T00:00:00"/>
        <d v="2025-08-18T00:00:00"/>
        <d v="2025-03-11T00:00:00"/>
        <d v="2025-06-30T00:00:00"/>
        <d v="2025-06-27T00:00:00"/>
        <d v="2025-07-06T00:00:00"/>
        <d v="2025-07-19T00:00:00"/>
        <d v="2025-01-09T00:00:00"/>
        <d v="2025-09-04T00:00:00"/>
        <d v="2025-10-08T00:00:00"/>
        <d v="2025-06-15T00:00:00"/>
        <d v="2025-08-29T00:00:00"/>
        <d v="2025-08-02T00:00:00"/>
        <d v="2025-08-19T00:00:00"/>
        <d v="2025-06-29T00:00:00"/>
        <d v="2025-12-15T00:00:00"/>
        <d v="2025-09-06T00:00:00"/>
        <d v="2025-07-29T00:00:00"/>
        <d v="2025-01-15T00:00:00"/>
        <d v="2025-07-08T00:00:00"/>
        <d v="2025-07-14T00:00:00"/>
        <d v="2025-09-29T00:00:00"/>
        <d v="2025-08-30T00:00:00"/>
      </sharedItems>
      <fieldGroup par="14"/>
    </cacheField>
    <cacheField name="Region" numFmtId="0">
      <sharedItems count="4">
        <s v="West"/>
        <s v="North"/>
        <s v="South"/>
        <s v="East"/>
      </sharedItems>
    </cacheField>
    <cacheField name="Salesperson" numFmtId="0">
      <sharedItems/>
    </cacheField>
    <cacheField name="Category" numFmtId="0">
      <sharedItems count="4">
        <s v="Stationery"/>
        <s v="Furniture"/>
        <s v="Electronics"/>
        <s v="Accessories"/>
      </sharedItems>
    </cacheField>
    <cacheField name="Product" numFmtId="0">
      <sharedItems/>
    </cacheField>
    <cacheField name="Units" numFmtId="0">
      <sharedItems containsSemiMixedTypes="0" containsString="0" containsNumber="1" containsInteger="1" minValue="1" maxValue="20"/>
    </cacheField>
    <cacheField name="UnitPrice" numFmtId="165">
      <sharedItems containsSemiMixedTypes="0" containsString="0" containsNumber="1" minValue="108.86" maxValue="50281.85"/>
    </cacheField>
    <cacheField name="Sales" numFmtId="165">
      <sharedItems containsSemiMixedTypes="0" containsString="0" containsNumber="1" minValue="117.11" maxValue="980478"/>
    </cacheField>
    <cacheField name="Cost" numFmtId="165">
      <sharedItems containsSemiMixedTypes="0" containsString="0" containsNumber="1" minValue="80.69" maxValue="761473.95"/>
    </cacheField>
    <cacheField name="Profit" numFmtId="165">
      <sharedItems containsSemiMixedTypes="0" containsString="0" containsNumber="1" minValue="16.95" maxValue="255814.04"/>
    </cacheField>
    <cacheField name="Channel" numFmtId="0">
      <sharedItems count="3">
        <s v="Distributor"/>
        <s v="Retail"/>
        <s v="Online"/>
      </sharedItems>
    </cacheField>
    <cacheField name="Profit Margin" numFmtId="0">
      <sharedItems containsSemiMixedTypes="0" containsString="0" containsNumber="1" minValue="0.14004792200280922" maxValue="0.37956037681986871"/>
    </cacheField>
    <cacheField name="Months (Order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 name="Years (OrderDate)" numFmtId="0" databaseField="0">
      <fieldGroup base="1">
        <rangePr groupBy="years" startDate="2025-01-01T00:00:00" endDate="2026-01-01T00:00:00"/>
        <groupItems count="4">
          <s v="&lt;1/1/2025"/>
          <s v="2025"/>
          <s v="2026"/>
          <s v="&gt;1/1/2026"/>
        </groupItems>
      </fieldGroup>
    </cacheField>
    <cacheField name="Profit Margin %" numFmtId="0" formula="Profit/Sales" databaseField="0"/>
  </cacheFields>
  <extLst>
    <ext xmlns:x14="http://schemas.microsoft.com/office/spreadsheetml/2009/9/main" uri="{725AE2AE-9491-48be-B2B4-4EB974FC3084}">
      <x14:pivotCacheDefinition pivotCacheId="674549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ORD0001"/>
    <x v="0"/>
    <x v="0"/>
    <s v="Imran"/>
    <x v="0"/>
    <s v="Pen Pack"/>
    <n v="6"/>
    <n v="267.14"/>
    <n v="1602.84"/>
    <n v="1264.6600000000001"/>
    <n v="338.18"/>
    <x v="0"/>
    <n v="0.21098799630655588"/>
  </r>
  <r>
    <s v="ORD0002"/>
    <x v="1"/>
    <x v="1"/>
    <s v="Aarav"/>
    <x v="1"/>
    <s v="Desk"/>
    <n v="14"/>
    <n v="10510.77"/>
    <n v="147150.78"/>
    <n v="108948.18"/>
    <n v="38202.6"/>
    <x v="1"/>
    <n v="0.25961534148850585"/>
  </r>
  <r>
    <s v="ORD0003"/>
    <x v="2"/>
    <x v="0"/>
    <s v="Rahul"/>
    <x v="2"/>
    <s v="Monitor"/>
    <n v="7"/>
    <n v="11198.42"/>
    <n v="78388.94"/>
    <n v="61875.25"/>
    <n v="16513.689999999999"/>
    <x v="0"/>
    <n v="0.2106635196240694"/>
  </r>
  <r>
    <s v="ORD0004"/>
    <x v="3"/>
    <x v="2"/>
    <s v="Kavya"/>
    <x v="2"/>
    <s v="Laptop"/>
    <n v="10"/>
    <n v="44555.78"/>
    <n v="445557.8"/>
    <n v="330492.17"/>
    <n v="115065.63"/>
    <x v="1"/>
    <n v="0.25825073649254937"/>
  </r>
  <r>
    <s v="ORD0005"/>
    <x v="2"/>
    <x v="2"/>
    <s v="Rohan"/>
    <x v="0"/>
    <s v="Notebook"/>
    <n v="14"/>
    <n v="117.83"/>
    <n v="1649.62"/>
    <n v="1043.22"/>
    <n v="606.4"/>
    <x v="0"/>
    <n v="0.36759981086553267"/>
  </r>
  <r>
    <s v="ORD0006"/>
    <x v="4"/>
    <x v="1"/>
    <s v="Meera"/>
    <x v="0"/>
    <s v="Printer Paper"/>
    <n v="1"/>
    <n v="381.82"/>
    <n v="381.82"/>
    <n v="258.62"/>
    <n v="123.2"/>
    <x v="0"/>
    <n v="0.32266513016604687"/>
  </r>
  <r>
    <s v="ORD0007"/>
    <x v="5"/>
    <x v="2"/>
    <s v="Vikram"/>
    <x v="0"/>
    <s v="Notebook"/>
    <n v="9"/>
    <n v="109.7"/>
    <n v="987.3"/>
    <n v="677.4"/>
    <n v="309.89999999999998"/>
    <x v="0"/>
    <n v="0.31388635673047705"/>
  </r>
  <r>
    <s v="ORD0008"/>
    <x v="6"/>
    <x v="2"/>
    <s v="Imran"/>
    <x v="0"/>
    <s v="Pen Pack"/>
    <n v="11"/>
    <n v="234.39"/>
    <n v="2578.29"/>
    <n v="1656.78"/>
    <n v="921.51"/>
    <x v="0"/>
    <n v="0.35741130749450217"/>
  </r>
  <r>
    <s v="ORD0009"/>
    <x v="7"/>
    <x v="3"/>
    <s v="Kavya"/>
    <x v="2"/>
    <s v="Laptop"/>
    <n v="12"/>
    <n v="40690.230000000003"/>
    <n v="488282.76"/>
    <n v="389998.87"/>
    <n v="98283.89"/>
    <x v="1"/>
    <n v="0.20128478425083041"/>
  </r>
  <r>
    <s v="ORD0010"/>
    <x v="8"/>
    <x v="1"/>
    <s v="Neha"/>
    <x v="0"/>
    <s v="Pen Pack"/>
    <n v="3"/>
    <n v="266.14999999999998"/>
    <n v="798.45"/>
    <n v="632.11"/>
    <n v="166.34"/>
    <x v="1"/>
    <n v="0.20832863673367147"/>
  </r>
  <r>
    <s v="ORD0011"/>
    <x v="9"/>
    <x v="2"/>
    <s v="Rohan"/>
    <x v="3"/>
    <s v="USB Drive"/>
    <n v="19"/>
    <n v="647.77"/>
    <n v="12307.63"/>
    <n v="8172.13"/>
    <n v="4135.5"/>
    <x v="1"/>
    <n v="0.33601107605607256"/>
  </r>
  <r>
    <s v="ORD0012"/>
    <x v="10"/>
    <x v="1"/>
    <s v="Neha"/>
    <x v="2"/>
    <s v="Keyboard"/>
    <n v="11"/>
    <n v="1617.56"/>
    <n v="17793.16"/>
    <n v="11242.9"/>
    <n v="6550.26"/>
    <x v="1"/>
    <n v="0.36813359740484547"/>
  </r>
  <r>
    <s v="ORD0013"/>
    <x v="11"/>
    <x v="3"/>
    <s v="Imran"/>
    <x v="3"/>
    <s v="Webcam"/>
    <n v="3"/>
    <n v="3261.67"/>
    <n v="9785.01"/>
    <n v="7341.97"/>
    <n v="2443.04"/>
    <x v="2"/>
    <n v="0.24967169169985517"/>
  </r>
  <r>
    <s v="ORD0014"/>
    <x v="12"/>
    <x v="3"/>
    <s v="Ananya"/>
    <x v="1"/>
    <s v="Desk"/>
    <n v="2"/>
    <n v="11654.18"/>
    <n v="23308.36"/>
    <n v="17174.419999999998"/>
    <n v="6133.94"/>
    <x v="1"/>
    <n v="0.26316480438778189"/>
  </r>
  <r>
    <s v="ORD0015"/>
    <x v="13"/>
    <x v="2"/>
    <s v="Vikram"/>
    <x v="3"/>
    <s v="USB Drive"/>
    <n v="15"/>
    <n v="550.22"/>
    <n v="8253.2999999999993"/>
    <n v="6026.93"/>
    <n v="2226.37"/>
    <x v="2"/>
    <n v="0.26975512825172965"/>
  </r>
  <r>
    <s v="ORD0016"/>
    <x v="14"/>
    <x v="0"/>
    <s v="Kavya"/>
    <x v="1"/>
    <s v="Desk"/>
    <n v="20"/>
    <n v="9968.67"/>
    <n v="199373.4"/>
    <n v="159235.69"/>
    <n v="40137.71"/>
    <x v="0"/>
    <n v="0.20131928331462473"/>
  </r>
  <r>
    <s v="ORD0017"/>
    <x v="15"/>
    <x v="0"/>
    <s v="Aarav"/>
    <x v="0"/>
    <s v="Printer Paper"/>
    <n v="6"/>
    <n v="386.59"/>
    <n v="2319.54"/>
    <n v="1747.56"/>
    <n v="571.98"/>
    <x v="0"/>
    <n v="0.2465919966889987"/>
  </r>
  <r>
    <s v="ORD0018"/>
    <x v="16"/>
    <x v="3"/>
    <s v="Rahul"/>
    <x v="1"/>
    <s v="Desk"/>
    <n v="14"/>
    <n v="10760.35"/>
    <n v="150644.9"/>
    <n v="114785.71"/>
    <n v="35859.19"/>
    <x v="0"/>
    <n v="0.23803786254961173"/>
  </r>
  <r>
    <s v="ORD0019"/>
    <x v="17"/>
    <x v="1"/>
    <s v="Neha"/>
    <x v="1"/>
    <s v="Desk"/>
    <n v="15"/>
    <n v="10978.25"/>
    <n v="164673.75"/>
    <n v="122026.84"/>
    <n v="42646.91"/>
    <x v="0"/>
    <n v="0.25897819172758257"/>
  </r>
  <r>
    <s v="ORD0020"/>
    <x v="18"/>
    <x v="0"/>
    <s v="Meera"/>
    <x v="2"/>
    <s v="Keyboard"/>
    <n v="9"/>
    <n v="1410.73"/>
    <n v="12696.57"/>
    <n v="7896.82"/>
    <n v="4799.75"/>
    <x v="1"/>
    <n v="0.37803517012862531"/>
  </r>
  <r>
    <s v="ORD0021"/>
    <x v="19"/>
    <x v="3"/>
    <s v="Neha"/>
    <x v="2"/>
    <s v="Keyboard"/>
    <n v="4"/>
    <n v="1520.82"/>
    <n v="6083.28"/>
    <n v="4792.6000000000004"/>
    <n v="1290.68"/>
    <x v="2"/>
    <n v="0.21216843544929712"/>
  </r>
  <r>
    <s v="ORD0022"/>
    <x v="20"/>
    <x v="0"/>
    <s v="Imran"/>
    <x v="1"/>
    <s v="Office Chair"/>
    <n v="1"/>
    <n v="6501.17"/>
    <n v="6501.17"/>
    <n v="5312.13"/>
    <n v="1189.04"/>
    <x v="2"/>
    <n v="0.18289630943353272"/>
  </r>
  <r>
    <s v="ORD0023"/>
    <x v="21"/>
    <x v="1"/>
    <s v="Rohan"/>
    <x v="2"/>
    <s v="Mouse"/>
    <n v="2"/>
    <n v="743.7"/>
    <n v="1487.4"/>
    <n v="943.54"/>
    <n v="543.86"/>
    <x v="0"/>
    <n v="0.36564474922683876"/>
  </r>
  <r>
    <s v="ORD0024"/>
    <x v="22"/>
    <x v="3"/>
    <s v="Kavya"/>
    <x v="0"/>
    <s v="Printer Paper"/>
    <n v="19"/>
    <n v="378.11"/>
    <n v="7184.09"/>
    <n v="6135.76"/>
    <n v="1048.33"/>
    <x v="1"/>
    <n v="0.14592384004097944"/>
  </r>
  <r>
    <s v="ORD0025"/>
    <x v="23"/>
    <x v="3"/>
    <s v="Priya"/>
    <x v="2"/>
    <s v="Keyboard"/>
    <n v="11"/>
    <n v="1456.14"/>
    <n v="16017.54"/>
    <n v="11215.79"/>
    <n v="4801.75"/>
    <x v="0"/>
    <n v="0.29978074036337665"/>
  </r>
  <r>
    <s v="ORD0026"/>
    <x v="24"/>
    <x v="0"/>
    <s v="Imran"/>
    <x v="3"/>
    <s v="Headset"/>
    <n v="9"/>
    <n v="2100.9899999999998"/>
    <n v="18908.91"/>
    <n v="14813.72"/>
    <n v="4095.19"/>
    <x v="1"/>
    <n v="0.21657462011295206"/>
  </r>
  <r>
    <s v="ORD0027"/>
    <x v="25"/>
    <x v="2"/>
    <s v="Meera"/>
    <x v="0"/>
    <s v="Notebook"/>
    <n v="7"/>
    <n v="121.33"/>
    <n v="849.31"/>
    <n v="725.3"/>
    <n v="124.01"/>
    <x v="0"/>
    <n v="0.14601264555933641"/>
  </r>
  <r>
    <s v="ORD0028"/>
    <x v="10"/>
    <x v="3"/>
    <s v="Priya"/>
    <x v="3"/>
    <s v="Webcam"/>
    <n v="17"/>
    <n v="3511.81"/>
    <n v="59700.77"/>
    <n v="48205.03"/>
    <n v="11495.74"/>
    <x v="0"/>
    <n v="0.1925559754086924"/>
  </r>
  <r>
    <s v="ORD0029"/>
    <x v="26"/>
    <x v="2"/>
    <s v="Rahul"/>
    <x v="0"/>
    <s v="Pen Pack"/>
    <n v="10"/>
    <n v="277.62"/>
    <n v="2776.2"/>
    <n v="1992.52"/>
    <n v="783.68"/>
    <x v="0"/>
    <n v="0.28228513795836035"/>
  </r>
  <r>
    <s v="ORD0030"/>
    <x v="27"/>
    <x v="2"/>
    <s v="Rahul"/>
    <x v="1"/>
    <s v="Desk"/>
    <n v="18"/>
    <n v="10678.49"/>
    <n v="192212.82"/>
    <n v="154142.47"/>
    <n v="38070.35"/>
    <x v="0"/>
    <n v="0.19806353187055889"/>
  </r>
  <r>
    <s v="ORD0031"/>
    <x v="28"/>
    <x v="3"/>
    <s v="Neha"/>
    <x v="3"/>
    <s v="Webcam"/>
    <n v="17"/>
    <n v="3014.48"/>
    <n v="51246.16"/>
    <n v="31858.87"/>
    <n v="19387.29"/>
    <x v="2"/>
    <n v="0.37831693145398598"/>
  </r>
  <r>
    <s v="ORD0032"/>
    <x v="29"/>
    <x v="0"/>
    <s v="Priya"/>
    <x v="3"/>
    <s v="Headset"/>
    <n v="17"/>
    <n v="2163.06"/>
    <n v="36772.019999999997"/>
    <n v="24301.89"/>
    <n v="12470.13"/>
    <x v="1"/>
    <n v="0.3391200700967747"/>
  </r>
  <r>
    <s v="ORD0033"/>
    <x v="30"/>
    <x v="3"/>
    <s v="Kavya"/>
    <x v="3"/>
    <s v="Webcam"/>
    <n v="5"/>
    <n v="3558.62"/>
    <n v="17793.099999999999"/>
    <n v="14206.71"/>
    <n v="3586.39"/>
    <x v="1"/>
    <n v="0.20156071735672818"/>
  </r>
  <r>
    <s v="ORD0034"/>
    <x v="31"/>
    <x v="3"/>
    <s v="Ananya"/>
    <x v="1"/>
    <s v="Desk"/>
    <n v="4"/>
    <n v="12196.11"/>
    <n v="48784.44"/>
    <n v="39084.93"/>
    <n v="9699.51"/>
    <x v="0"/>
    <n v="0.19882384629197342"/>
  </r>
  <r>
    <s v="ORD0035"/>
    <x v="32"/>
    <x v="3"/>
    <s v="Neha"/>
    <x v="1"/>
    <s v="Office Chair"/>
    <n v="18"/>
    <n v="7090.69"/>
    <n v="127632.42"/>
    <n v="104839.74"/>
    <n v="22792.68"/>
    <x v="1"/>
    <n v="0.1785806458891871"/>
  </r>
  <r>
    <s v="ORD0036"/>
    <x v="33"/>
    <x v="3"/>
    <s v="Priya"/>
    <x v="0"/>
    <s v="Pen Pack"/>
    <n v="7"/>
    <n v="273.47000000000003"/>
    <n v="1914.29"/>
    <n v="1192.33"/>
    <n v="721.96"/>
    <x v="0"/>
    <n v="0.37714243923334501"/>
  </r>
  <r>
    <s v="ORD0037"/>
    <x v="34"/>
    <x v="1"/>
    <s v="Kavya"/>
    <x v="3"/>
    <s v="Webcam"/>
    <n v="14"/>
    <n v="3309.47"/>
    <n v="46332.58"/>
    <n v="36391.29"/>
    <n v="9941.2900000000009"/>
    <x v="1"/>
    <n v="0.21456370441706463"/>
  </r>
  <r>
    <s v="ORD0038"/>
    <x v="35"/>
    <x v="0"/>
    <s v="Neha"/>
    <x v="1"/>
    <s v="Office Chair"/>
    <n v="12"/>
    <n v="6904.12"/>
    <n v="82849.440000000002"/>
    <n v="65428.46"/>
    <n v="17420.98"/>
    <x v="2"/>
    <n v="0.21027275501198317"/>
  </r>
  <r>
    <s v="ORD0039"/>
    <x v="14"/>
    <x v="0"/>
    <s v="Priya"/>
    <x v="3"/>
    <s v="USB Drive"/>
    <n v="7"/>
    <n v="586.86"/>
    <n v="4108.0200000000004"/>
    <n v="3040.54"/>
    <n v="1067.48"/>
    <x v="2"/>
    <n v="0.25985267841928711"/>
  </r>
  <r>
    <s v="ORD0040"/>
    <x v="36"/>
    <x v="0"/>
    <s v="Meera"/>
    <x v="2"/>
    <s v="Monitor"/>
    <n v="8"/>
    <n v="13119.14"/>
    <n v="104953.12"/>
    <n v="84415.54"/>
    <n v="20537.580000000002"/>
    <x v="2"/>
    <n v="0.19568336796466845"/>
  </r>
  <r>
    <s v="ORD0041"/>
    <x v="25"/>
    <x v="0"/>
    <s v="Rohan"/>
    <x v="3"/>
    <s v="Webcam"/>
    <n v="8"/>
    <n v="3109.99"/>
    <n v="24879.919999999998"/>
    <n v="17729.740000000002"/>
    <n v="7150.18"/>
    <x v="2"/>
    <n v="0.28738758002437309"/>
  </r>
  <r>
    <s v="ORD0042"/>
    <x v="37"/>
    <x v="0"/>
    <s v="Aarav"/>
    <x v="3"/>
    <s v="Headset"/>
    <n v="14"/>
    <n v="2402.61"/>
    <n v="33636.54"/>
    <n v="26105.43"/>
    <n v="7531.11"/>
    <x v="2"/>
    <n v="0.22389669092005299"/>
  </r>
  <r>
    <s v="ORD0043"/>
    <x v="38"/>
    <x v="0"/>
    <s v="Aarav"/>
    <x v="0"/>
    <s v="Pen Pack"/>
    <n v="5"/>
    <n v="235.93"/>
    <n v="1179.6500000000001"/>
    <n v="804.02"/>
    <n v="375.63"/>
    <x v="2"/>
    <n v="0.31842495655491032"/>
  </r>
  <r>
    <s v="ORD0044"/>
    <x v="39"/>
    <x v="3"/>
    <s v="Meera"/>
    <x v="2"/>
    <s v="Laptop"/>
    <n v="10"/>
    <n v="48899.22"/>
    <n v="488992.2"/>
    <n v="379033.93"/>
    <n v="109958.27"/>
    <x v="0"/>
    <n v="0.22486712466988226"/>
  </r>
  <r>
    <s v="ORD0045"/>
    <x v="40"/>
    <x v="0"/>
    <s v="Vikram"/>
    <x v="0"/>
    <s v="Printer Paper"/>
    <n v="2"/>
    <n v="374.82"/>
    <n v="749.64"/>
    <n v="470.37"/>
    <n v="279.27"/>
    <x v="0"/>
    <n v="0.3725388186329438"/>
  </r>
  <r>
    <s v="ORD0046"/>
    <x v="41"/>
    <x v="1"/>
    <s v="Aarav"/>
    <x v="0"/>
    <s v="Pen Pack"/>
    <n v="20"/>
    <n v="244.33"/>
    <n v="4886.6000000000004"/>
    <n v="3594.65"/>
    <n v="1291.95"/>
    <x v="2"/>
    <n v="0.26438628084967053"/>
  </r>
  <r>
    <s v="ORD0047"/>
    <x v="42"/>
    <x v="1"/>
    <s v="Aarav"/>
    <x v="0"/>
    <s v="Pen Pack"/>
    <n v="16"/>
    <n v="249.55"/>
    <n v="3992.8"/>
    <n v="3244.89"/>
    <n v="747.91"/>
    <x v="1"/>
    <n v="0.18731466639951913"/>
  </r>
  <r>
    <s v="ORD0048"/>
    <x v="43"/>
    <x v="2"/>
    <s v="Aarav"/>
    <x v="2"/>
    <s v="Keyboard"/>
    <n v="17"/>
    <n v="1609.94"/>
    <n v="27368.98"/>
    <n v="22562.19"/>
    <n v="4806.79"/>
    <x v="2"/>
    <n v="0.17562912465133884"/>
  </r>
  <r>
    <s v="ORD0049"/>
    <x v="44"/>
    <x v="1"/>
    <s v="Aarav"/>
    <x v="3"/>
    <s v="Headset"/>
    <n v="15"/>
    <n v="2049.5"/>
    <n v="30742.5"/>
    <n v="20513.2"/>
    <n v="10229.299999999999"/>
    <x v="1"/>
    <n v="0.33274131902089937"/>
  </r>
  <r>
    <s v="ORD0050"/>
    <x v="45"/>
    <x v="3"/>
    <s v="Aarav"/>
    <x v="2"/>
    <s v="Laptop"/>
    <n v="5"/>
    <n v="45212.86"/>
    <n v="226064.3"/>
    <n v="156922.06"/>
    <n v="69142.240000000005"/>
    <x v="0"/>
    <n v="0.30585209606293434"/>
  </r>
  <r>
    <s v="ORD0051"/>
    <x v="46"/>
    <x v="3"/>
    <s v="Ananya"/>
    <x v="0"/>
    <s v="Printer Paper"/>
    <n v="1"/>
    <n v="348.68"/>
    <n v="348.68"/>
    <n v="248.3"/>
    <n v="100.38"/>
    <x v="0"/>
    <n v="0.28788574050705518"/>
  </r>
  <r>
    <s v="ORD0052"/>
    <x v="47"/>
    <x v="1"/>
    <s v="Kavya"/>
    <x v="0"/>
    <s v="Printer Paper"/>
    <n v="15"/>
    <n v="386.33"/>
    <n v="5794.95"/>
    <n v="3672.41"/>
    <n v="2122.54"/>
    <x v="1"/>
    <n v="0.36627408346922752"/>
  </r>
  <r>
    <s v="ORD0053"/>
    <x v="11"/>
    <x v="0"/>
    <s v="Imran"/>
    <x v="2"/>
    <s v="Monitor"/>
    <n v="3"/>
    <n v="12587.94"/>
    <n v="37763.82"/>
    <n v="29577.79"/>
    <n v="8186.03"/>
    <x v="2"/>
    <n v="0.21676911922575628"/>
  </r>
  <r>
    <s v="ORD0054"/>
    <x v="48"/>
    <x v="2"/>
    <s v="Imran"/>
    <x v="3"/>
    <s v="Headset"/>
    <n v="4"/>
    <n v="2374.39"/>
    <n v="9497.56"/>
    <n v="6757.15"/>
    <n v="2740.41"/>
    <x v="2"/>
    <n v="0.2885383193156979"/>
  </r>
  <r>
    <s v="ORD0055"/>
    <x v="49"/>
    <x v="0"/>
    <s v="Rohan"/>
    <x v="0"/>
    <s v="Printer Paper"/>
    <n v="8"/>
    <n v="358.33"/>
    <n v="2866.64"/>
    <n v="2282.67"/>
    <n v="583.97"/>
    <x v="0"/>
    <n v="0.20371236011497784"/>
  </r>
  <r>
    <s v="ORD0056"/>
    <x v="50"/>
    <x v="2"/>
    <s v="Kavya"/>
    <x v="1"/>
    <s v="Bookshelf"/>
    <n v="11"/>
    <n v="8028.77"/>
    <n v="88316.47"/>
    <n v="71509.7"/>
    <n v="16806.77"/>
    <x v="2"/>
    <n v="0.19030165041696073"/>
  </r>
  <r>
    <s v="ORD0057"/>
    <x v="51"/>
    <x v="1"/>
    <s v="Neha"/>
    <x v="3"/>
    <s v="Headset"/>
    <n v="15"/>
    <n v="2190.9"/>
    <n v="32863.5"/>
    <n v="26784.11"/>
    <n v="6079.39"/>
    <x v="0"/>
    <n v="0.18498912166993778"/>
  </r>
  <r>
    <s v="ORD0058"/>
    <x v="52"/>
    <x v="2"/>
    <s v="Priya"/>
    <x v="1"/>
    <s v="Office Chair"/>
    <n v="9"/>
    <n v="5923.12"/>
    <n v="53308.08"/>
    <n v="36397.279999999999"/>
    <n v="16910.8"/>
    <x v="0"/>
    <n v="0.31722770731941574"/>
  </r>
  <r>
    <s v="ORD0059"/>
    <x v="53"/>
    <x v="0"/>
    <s v="Rohan"/>
    <x v="2"/>
    <s v="Laptop"/>
    <n v="1"/>
    <n v="46725.97"/>
    <n v="46725.97"/>
    <n v="40163.25"/>
    <n v="6562.72"/>
    <x v="1"/>
    <n v="0.14045123086797343"/>
  </r>
  <r>
    <s v="ORD0060"/>
    <x v="54"/>
    <x v="3"/>
    <s v="Rahul"/>
    <x v="0"/>
    <s v="Printer Paper"/>
    <n v="20"/>
    <n v="365.83"/>
    <n v="7316.6"/>
    <n v="5587.97"/>
    <n v="1728.63"/>
    <x v="1"/>
    <n v="0.23626137823579257"/>
  </r>
  <r>
    <s v="ORD0061"/>
    <x v="48"/>
    <x v="0"/>
    <s v="Meera"/>
    <x v="2"/>
    <s v="Monitor"/>
    <n v="1"/>
    <n v="13171.14"/>
    <n v="13171.14"/>
    <n v="9601.3700000000008"/>
    <n v="3569.77"/>
    <x v="2"/>
    <n v="0.27102969067218174"/>
  </r>
  <r>
    <s v="ORD0062"/>
    <x v="55"/>
    <x v="1"/>
    <s v="Aarav"/>
    <x v="1"/>
    <s v="Desk"/>
    <n v="13"/>
    <n v="11490.68"/>
    <n v="149378.84"/>
    <n v="106916.21"/>
    <n v="42462.63"/>
    <x v="1"/>
    <n v="0.28426134518115148"/>
  </r>
  <r>
    <s v="ORD0063"/>
    <x v="56"/>
    <x v="2"/>
    <s v="Rahul"/>
    <x v="2"/>
    <s v="Mouse"/>
    <n v="11"/>
    <n v="653.1"/>
    <n v="7184.1"/>
    <n v="4835.22"/>
    <n v="2348.88"/>
    <x v="1"/>
    <n v="0.32695535975278739"/>
  </r>
  <r>
    <s v="ORD0064"/>
    <x v="54"/>
    <x v="3"/>
    <s v="Imran"/>
    <x v="3"/>
    <s v="Webcam"/>
    <n v="3"/>
    <n v="3001.1"/>
    <n v="9003.2999999999993"/>
    <n v="6117.61"/>
    <n v="2885.69"/>
    <x v="2"/>
    <n v="0.32051470016549488"/>
  </r>
  <r>
    <s v="ORD0065"/>
    <x v="40"/>
    <x v="1"/>
    <s v="Imran"/>
    <x v="0"/>
    <s v="Pen Pack"/>
    <n v="15"/>
    <n v="239.35"/>
    <n v="3590.25"/>
    <n v="2562.73"/>
    <n v="1027.52"/>
    <x v="1"/>
    <n v="0.2861973400181046"/>
  </r>
  <r>
    <s v="ORD0066"/>
    <x v="57"/>
    <x v="2"/>
    <s v="Vikram"/>
    <x v="1"/>
    <s v="Office Chair"/>
    <n v="4"/>
    <n v="5896.19"/>
    <n v="23584.76"/>
    <n v="15266.24"/>
    <n v="8318.52"/>
    <x v="2"/>
    <n v="0.352707426321065"/>
  </r>
  <r>
    <s v="ORD0067"/>
    <x v="58"/>
    <x v="3"/>
    <s v="Kavya"/>
    <x v="1"/>
    <s v="Office Chair"/>
    <n v="17"/>
    <n v="6100.21"/>
    <n v="103703.57"/>
    <n v="85329.07"/>
    <n v="18374.5"/>
    <x v="0"/>
    <n v="0.17718290701081937"/>
  </r>
  <r>
    <s v="ORD0068"/>
    <x v="59"/>
    <x v="1"/>
    <s v="Meera"/>
    <x v="2"/>
    <s v="Mouse"/>
    <n v="14"/>
    <n v="693.9"/>
    <n v="9714.6"/>
    <n v="7234.67"/>
    <n v="2479.9299999999998"/>
    <x v="1"/>
    <n v="0.25527865274946987"/>
  </r>
  <r>
    <s v="ORD0069"/>
    <x v="60"/>
    <x v="1"/>
    <s v="Aarav"/>
    <x v="2"/>
    <s v="Laptop"/>
    <n v="20"/>
    <n v="42161.89"/>
    <n v="843237.8"/>
    <n v="677721.18"/>
    <n v="165516.62"/>
    <x v="1"/>
    <n v="0.19628700231417517"/>
  </r>
  <r>
    <s v="ORD0070"/>
    <x v="61"/>
    <x v="1"/>
    <s v="Rahul"/>
    <x v="0"/>
    <s v="Notebook"/>
    <n v="11"/>
    <n v="130.05000000000001"/>
    <n v="1430.55"/>
    <n v="943.11"/>
    <n v="487.44"/>
    <x v="0"/>
    <n v="0.3407360805284681"/>
  </r>
  <r>
    <s v="ORD0071"/>
    <x v="62"/>
    <x v="3"/>
    <s v="Meera"/>
    <x v="1"/>
    <s v="Bookshelf"/>
    <n v="15"/>
    <n v="8893.06"/>
    <n v="133395.9"/>
    <n v="92089.54"/>
    <n v="41306.36"/>
    <x v="0"/>
    <n v="0.30965239561335844"/>
  </r>
  <r>
    <s v="ORD0072"/>
    <x v="32"/>
    <x v="0"/>
    <s v="Neha"/>
    <x v="1"/>
    <s v="Bookshelf"/>
    <n v="20"/>
    <n v="7952.26"/>
    <n v="159045.20000000001"/>
    <n v="132219.79"/>
    <n v="26825.41"/>
    <x v="1"/>
    <n v="0.16866532281389188"/>
  </r>
  <r>
    <s v="ORD0073"/>
    <x v="63"/>
    <x v="3"/>
    <s v="Aarav"/>
    <x v="0"/>
    <s v="Notebook"/>
    <n v="11"/>
    <n v="108.99"/>
    <n v="1198.8900000000001"/>
    <n v="953.8"/>
    <n v="245.09"/>
    <x v="1"/>
    <n v="0.20443076512440672"/>
  </r>
  <r>
    <s v="ORD0074"/>
    <x v="64"/>
    <x v="1"/>
    <s v="Kavya"/>
    <x v="2"/>
    <s v="Monitor"/>
    <n v="3"/>
    <n v="12943.9"/>
    <n v="38831.699999999997"/>
    <n v="27524.7"/>
    <n v="11307"/>
    <x v="1"/>
    <n v="0.29117962901443928"/>
  </r>
  <r>
    <s v="ORD0075"/>
    <x v="65"/>
    <x v="0"/>
    <s v="Kavya"/>
    <x v="1"/>
    <s v="Desk"/>
    <n v="16"/>
    <n v="12224.3"/>
    <n v="195588.8"/>
    <n v="149800.82999999999"/>
    <n v="45787.97"/>
    <x v="1"/>
    <n v="0.23410323085984475"/>
  </r>
  <r>
    <s v="ORD0076"/>
    <x v="66"/>
    <x v="2"/>
    <s v="Vikram"/>
    <x v="1"/>
    <s v="Bookshelf"/>
    <n v="3"/>
    <n v="7926.71"/>
    <n v="23780.13"/>
    <n v="16160.48"/>
    <n v="7619.65"/>
    <x v="1"/>
    <n v="0.32042087238379263"/>
  </r>
  <r>
    <s v="ORD0077"/>
    <x v="67"/>
    <x v="3"/>
    <s v="Vikram"/>
    <x v="1"/>
    <s v="Desk"/>
    <n v="15"/>
    <n v="10240.52"/>
    <n v="153607.79999999999"/>
    <n v="107079.03"/>
    <n v="46528.77"/>
    <x v="1"/>
    <n v="0.30290629772706856"/>
  </r>
  <r>
    <s v="ORD0078"/>
    <x v="68"/>
    <x v="1"/>
    <s v="Meera"/>
    <x v="0"/>
    <s v="Pen Pack"/>
    <n v="13"/>
    <n v="268.91000000000003"/>
    <n v="3495.83"/>
    <n v="2175.04"/>
    <n v="1320.79"/>
    <x v="2"/>
    <n v="0.37781871544096823"/>
  </r>
  <r>
    <s v="ORD0079"/>
    <x v="69"/>
    <x v="3"/>
    <s v="Aarav"/>
    <x v="1"/>
    <s v="Bookshelf"/>
    <n v="2"/>
    <n v="8051.57"/>
    <n v="16103.14"/>
    <n v="10455.33"/>
    <n v="5647.81"/>
    <x v="0"/>
    <n v="0.35072724946811618"/>
  </r>
  <r>
    <s v="ORD0080"/>
    <x v="70"/>
    <x v="3"/>
    <s v="Imran"/>
    <x v="0"/>
    <s v="Printer Paper"/>
    <n v="10"/>
    <n v="368.48"/>
    <n v="3684.8"/>
    <n v="2313.23"/>
    <n v="1371.57"/>
    <x v="2"/>
    <n v="0.37222372991749886"/>
  </r>
  <r>
    <s v="ORD0081"/>
    <x v="71"/>
    <x v="1"/>
    <s v="Rohan"/>
    <x v="2"/>
    <s v="Mouse"/>
    <n v="12"/>
    <n v="762.78"/>
    <n v="9153.36"/>
    <n v="7023.69"/>
    <n v="2129.67"/>
    <x v="2"/>
    <n v="0.23266538189255093"/>
  </r>
  <r>
    <s v="ORD0082"/>
    <x v="6"/>
    <x v="3"/>
    <s v="Imran"/>
    <x v="0"/>
    <s v="Printer Paper"/>
    <n v="18"/>
    <n v="377.69"/>
    <n v="6798.42"/>
    <n v="4223.26"/>
    <n v="2575.16"/>
    <x v="0"/>
    <n v="0.3787880125087888"/>
  </r>
  <r>
    <s v="ORD0083"/>
    <x v="43"/>
    <x v="1"/>
    <s v="Ananya"/>
    <x v="1"/>
    <s v="Bookshelf"/>
    <n v="5"/>
    <n v="8386.4500000000007"/>
    <n v="41932.25"/>
    <n v="26368.07"/>
    <n v="15564.18"/>
    <x v="1"/>
    <n v="0.3711744540300127"/>
  </r>
  <r>
    <s v="ORD0084"/>
    <x v="72"/>
    <x v="3"/>
    <s v="Aarav"/>
    <x v="1"/>
    <s v="Desk"/>
    <n v="17"/>
    <n v="11830.5"/>
    <n v="201118.5"/>
    <n v="137109.65"/>
    <n v="64008.85"/>
    <x v="0"/>
    <n v="0.31826435658579394"/>
  </r>
  <r>
    <s v="ORD0085"/>
    <x v="73"/>
    <x v="1"/>
    <s v="Kavya"/>
    <x v="3"/>
    <s v="Headset"/>
    <n v="9"/>
    <n v="2352.21"/>
    <n v="21169.89"/>
    <n v="16897.16"/>
    <n v="4272.7299999999996"/>
    <x v="0"/>
    <n v="0.20183052439101004"/>
  </r>
  <r>
    <s v="ORD0086"/>
    <x v="74"/>
    <x v="3"/>
    <s v="Vikram"/>
    <x v="3"/>
    <s v="USB Drive"/>
    <n v="19"/>
    <n v="568.71"/>
    <n v="10805.49"/>
    <n v="7101.79"/>
    <n v="3703.7"/>
    <x v="2"/>
    <n v="0.3427609483697639"/>
  </r>
  <r>
    <s v="ORD0087"/>
    <x v="75"/>
    <x v="2"/>
    <s v="Meera"/>
    <x v="0"/>
    <s v="Notebook"/>
    <n v="6"/>
    <n v="110.43"/>
    <n v="662.58"/>
    <n v="443.03"/>
    <n v="219.55"/>
    <x v="2"/>
    <n v="0.3313562135893024"/>
  </r>
  <r>
    <s v="ORD0088"/>
    <x v="76"/>
    <x v="3"/>
    <s v="Meera"/>
    <x v="2"/>
    <s v="Laptop"/>
    <n v="14"/>
    <n v="50281.85"/>
    <n v="703945.9"/>
    <n v="512826.71"/>
    <n v="191119.19"/>
    <x v="0"/>
    <n v="0.27149698577688997"/>
  </r>
  <r>
    <s v="ORD0089"/>
    <x v="77"/>
    <x v="2"/>
    <s v="Priya"/>
    <x v="0"/>
    <s v="Pen Pack"/>
    <n v="13"/>
    <n v="263.18"/>
    <n v="3421.34"/>
    <n v="2125.1"/>
    <n v="1296.24"/>
    <x v="1"/>
    <n v="0.37886909807268498"/>
  </r>
  <r>
    <s v="ORD0090"/>
    <x v="78"/>
    <x v="2"/>
    <s v="Ananya"/>
    <x v="2"/>
    <s v="Laptop"/>
    <n v="1"/>
    <n v="43165.93"/>
    <n v="43165.93"/>
    <n v="33114.42"/>
    <n v="10051.51"/>
    <x v="2"/>
    <n v="0.23285748737488107"/>
  </r>
  <r>
    <s v="ORD0091"/>
    <x v="79"/>
    <x v="2"/>
    <s v="Rohan"/>
    <x v="2"/>
    <s v="Keyboard"/>
    <n v="7"/>
    <n v="1416.78"/>
    <n v="9917.4599999999991"/>
    <n v="8430.2000000000007"/>
    <n v="1487.26"/>
    <x v="1"/>
    <n v="0.14996380121523054"/>
  </r>
  <r>
    <s v="ORD0092"/>
    <x v="80"/>
    <x v="2"/>
    <s v="Vikram"/>
    <x v="0"/>
    <s v="Notebook"/>
    <n v="3"/>
    <n v="124.56"/>
    <n v="373.68"/>
    <n v="312.45999999999998"/>
    <n v="61.22"/>
    <x v="0"/>
    <n v="0.16383001498608435"/>
  </r>
  <r>
    <s v="ORD0093"/>
    <x v="18"/>
    <x v="0"/>
    <s v="Rohan"/>
    <x v="0"/>
    <s v="Printer Paper"/>
    <n v="7"/>
    <n v="384.09"/>
    <n v="2688.63"/>
    <n v="2120.63"/>
    <n v="568"/>
    <x v="2"/>
    <n v="0.21126000974473988"/>
  </r>
  <r>
    <s v="ORD0094"/>
    <x v="81"/>
    <x v="3"/>
    <s v="Imran"/>
    <x v="3"/>
    <s v="Webcam"/>
    <n v="6"/>
    <n v="3016.13"/>
    <n v="18096.78"/>
    <n v="12963.62"/>
    <n v="5133.16"/>
    <x v="0"/>
    <n v="0.28365046157382695"/>
  </r>
  <r>
    <s v="ORD0095"/>
    <x v="82"/>
    <x v="2"/>
    <s v="Imran"/>
    <x v="2"/>
    <s v="Monitor"/>
    <n v="11"/>
    <n v="12194.09"/>
    <n v="134134.99"/>
    <n v="94677.48"/>
    <n v="39457.51"/>
    <x v="1"/>
    <n v="0.29416269386533672"/>
  </r>
  <r>
    <s v="ORD0096"/>
    <x v="83"/>
    <x v="3"/>
    <s v="Rohan"/>
    <x v="3"/>
    <s v="Webcam"/>
    <n v="6"/>
    <n v="3033.75"/>
    <n v="18202.5"/>
    <n v="13985.51"/>
    <n v="4216.99"/>
    <x v="0"/>
    <n v="0.23167092432358191"/>
  </r>
  <r>
    <s v="ORD0097"/>
    <x v="75"/>
    <x v="0"/>
    <s v="Kavya"/>
    <x v="1"/>
    <s v="Office Chair"/>
    <n v="11"/>
    <n v="6637.72"/>
    <n v="73014.92"/>
    <n v="62111.69"/>
    <n v="10903.23"/>
    <x v="2"/>
    <n v="0.14932879471757279"/>
  </r>
  <r>
    <s v="ORD0098"/>
    <x v="84"/>
    <x v="2"/>
    <s v="Neha"/>
    <x v="1"/>
    <s v="Office Chair"/>
    <n v="4"/>
    <n v="7094.61"/>
    <n v="28378.44"/>
    <n v="20470.78"/>
    <n v="7907.66"/>
    <x v="0"/>
    <n v="0.27865027112131607"/>
  </r>
  <r>
    <s v="ORD0099"/>
    <x v="85"/>
    <x v="1"/>
    <s v="Neha"/>
    <x v="1"/>
    <s v="Bookshelf"/>
    <n v="5"/>
    <n v="7809.02"/>
    <n v="39045.1"/>
    <n v="24418.22"/>
    <n v="14626.88"/>
    <x v="2"/>
    <n v="0.37461499650404273"/>
  </r>
  <r>
    <s v="ORD0100"/>
    <x v="86"/>
    <x v="0"/>
    <s v="Ananya"/>
    <x v="2"/>
    <s v="Keyboard"/>
    <n v="11"/>
    <n v="1376.02"/>
    <n v="15136.22"/>
    <n v="12425.37"/>
    <n v="2710.85"/>
    <x v="1"/>
    <n v="0.17909689473329538"/>
  </r>
  <r>
    <s v="ORD0101"/>
    <x v="87"/>
    <x v="2"/>
    <s v="Kavya"/>
    <x v="1"/>
    <s v="Bookshelf"/>
    <n v="16"/>
    <n v="7959.32"/>
    <n v="127349.12"/>
    <n v="80652.639999999999"/>
    <n v="46696.480000000003"/>
    <x v="1"/>
    <n v="0.36668082197976715"/>
  </r>
  <r>
    <s v="ORD0102"/>
    <x v="88"/>
    <x v="1"/>
    <s v="Aarav"/>
    <x v="2"/>
    <s v="Keyboard"/>
    <n v="17"/>
    <n v="1613.2"/>
    <n v="27424.400000000001"/>
    <n v="21611.4"/>
    <n v="5813"/>
    <x v="0"/>
    <n v="0.211964527938624"/>
  </r>
  <r>
    <s v="ORD0103"/>
    <x v="89"/>
    <x v="3"/>
    <s v="Kavya"/>
    <x v="0"/>
    <s v="Notebook"/>
    <n v="1"/>
    <n v="119.48"/>
    <n v="119.48"/>
    <n v="88.7"/>
    <n v="30.78"/>
    <x v="2"/>
    <n v="0.25761633746233681"/>
  </r>
  <r>
    <s v="ORD0104"/>
    <x v="90"/>
    <x v="3"/>
    <s v="Neha"/>
    <x v="1"/>
    <s v="Bookshelf"/>
    <n v="3"/>
    <n v="7501.97"/>
    <n v="22505.91"/>
    <n v="16674.080000000002"/>
    <n v="5831.83"/>
    <x v="2"/>
    <n v="0.25912438110700703"/>
  </r>
  <r>
    <s v="ORD0105"/>
    <x v="91"/>
    <x v="0"/>
    <s v="Ananya"/>
    <x v="1"/>
    <s v="Office Chair"/>
    <n v="11"/>
    <n v="5955.2"/>
    <n v="65507.199999999997"/>
    <n v="41006.949999999997"/>
    <n v="24500.25"/>
    <x v="0"/>
    <n v="0.37400850593522544"/>
  </r>
  <r>
    <s v="ORD0106"/>
    <x v="23"/>
    <x v="2"/>
    <s v="Ananya"/>
    <x v="2"/>
    <s v="Keyboard"/>
    <n v="7"/>
    <n v="1458.24"/>
    <n v="10207.68"/>
    <n v="7651.76"/>
    <n v="2555.92"/>
    <x v="2"/>
    <n v="0.25039186181384998"/>
  </r>
  <r>
    <s v="ORD0107"/>
    <x v="92"/>
    <x v="0"/>
    <s v="Ananya"/>
    <x v="1"/>
    <s v="Office Chair"/>
    <n v="5"/>
    <n v="7071.19"/>
    <n v="35355.949999999997"/>
    <n v="25510.31"/>
    <n v="9845.64"/>
    <x v="2"/>
    <n v="0.27847194036647299"/>
  </r>
  <r>
    <s v="ORD0108"/>
    <x v="93"/>
    <x v="1"/>
    <s v="Kavya"/>
    <x v="1"/>
    <s v="Desk"/>
    <n v="7"/>
    <n v="10575.86"/>
    <n v="74031.02"/>
    <n v="56064.93"/>
    <n v="17966.09"/>
    <x v="0"/>
    <n v="0.24268326979690405"/>
  </r>
  <r>
    <s v="ORD0109"/>
    <x v="94"/>
    <x v="2"/>
    <s v="Vikram"/>
    <x v="1"/>
    <s v="Office Chair"/>
    <n v="15"/>
    <n v="6043.9"/>
    <n v="90658.5"/>
    <n v="65465.94"/>
    <n v="25192.560000000001"/>
    <x v="1"/>
    <n v="0.27788414765300551"/>
  </r>
  <r>
    <s v="ORD0110"/>
    <x v="95"/>
    <x v="1"/>
    <s v="Priya"/>
    <x v="3"/>
    <s v="Headset"/>
    <n v="20"/>
    <n v="2309.16"/>
    <n v="46183.199999999997"/>
    <n v="31642.67"/>
    <n v="14540.53"/>
    <x v="2"/>
    <n v="0.31484457551663814"/>
  </r>
  <r>
    <s v="ORD0111"/>
    <x v="96"/>
    <x v="1"/>
    <s v="Neha"/>
    <x v="1"/>
    <s v="Bookshelf"/>
    <n v="1"/>
    <n v="8711.5"/>
    <n v="8711.5"/>
    <n v="5733.31"/>
    <n v="2978.19"/>
    <x v="2"/>
    <n v="0.34186879412271137"/>
  </r>
  <r>
    <s v="ORD0112"/>
    <x v="97"/>
    <x v="2"/>
    <s v="Kavya"/>
    <x v="0"/>
    <s v="Notebook"/>
    <n v="10"/>
    <n v="118.22"/>
    <n v="1182.2"/>
    <n v="944.2"/>
    <n v="238"/>
    <x v="1"/>
    <n v="0.20131957367619691"/>
  </r>
  <r>
    <s v="ORD0113"/>
    <x v="98"/>
    <x v="3"/>
    <s v="Ananya"/>
    <x v="3"/>
    <s v="Webcam"/>
    <n v="18"/>
    <n v="3007.45"/>
    <n v="54134.1"/>
    <n v="42764.37"/>
    <n v="11369.73"/>
    <x v="2"/>
    <n v="0.21002898357966604"/>
  </r>
  <r>
    <s v="ORD0114"/>
    <x v="99"/>
    <x v="1"/>
    <s v="Aarav"/>
    <x v="0"/>
    <s v="Pen Pack"/>
    <n v="16"/>
    <n v="248.25"/>
    <n v="3972"/>
    <n v="2634.05"/>
    <n v="1337.95"/>
    <x v="2"/>
    <n v="0.33684541792547834"/>
  </r>
  <r>
    <s v="ORD0115"/>
    <x v="71"/>
    <x v="1"/>
    <s v="Meera"/>
    <x v="0"/>
    <s v="Notebook"/>
    <n v="3"/>
    <n v="115.59"/>
    <n v="346.77"/>
    <n v="260.39"/>
    <n v="86.38"/>
    <x v="2"/>
    <n v="0.24909882631138794"/>
  </r>
  <r>
    <s v="ORD0116"/>
    <x v="100"/>
    <x v="3"/>
    <s v="Aarav"/>
    <x v="2"/>
    <s v="Mouse"/>
    <n v="7"/>
    <n v="741.77"/>
    <n v="5192.3900000000003"/>
    <n v="3873.23"/>
    <n v="1319.16"/>
    <x v="1"/>
    <n v="0.2540564171797573"/>
  </r>
  <r>
    <s v="ORD0117"/>
    <x v="101"/>
    <x v="3"/>
    <s v="Aarav"/>
    <x v="0"/>
    <s v="Pen Pack"/>
    <n v="16"/>
    <n v="260.56"/>
    <n v="4168.96"/>
    <n v="3360.23"/>
    <n v="808.73"/>
    <x v="2"/>
    <n v="0.19398842876880565"/>
  </r>
  <r>
    <s v="ORD0118"/>
    <x v="102"/>
    <x v="0"/>
    <s v="Rohan"/>
    <x v="0"/>
    <s v="Notebook"/>
    <n v="6"/>
    <n v="114.65"/>
    <n v="687.9"/>
    <n v="578.45000000000005"/>
    <n v="109.45"/>
    <x v="2"/>
    <n v="0.15910742840529149"/>
  </r>
  <r>
    <s v="ORD0119"/>
    <x v="103"/>
    <x v="0"/>
    <s v="Vikram"/>
    <x v="0"/>
    <s v="Notebook"/>
    <n v="5"/>
    <n v="116.4"/>
    <n v="582"/>
    <n v="483.26"/>
    <n v="98.74"/>
    <x v="2"/>
    <n v="0.16965635738831614"/>
  </r>
  <r>
    <s v="ORD0120"/>
    <x v="82"/>
    <x v="2"/>
    <s v="Rahul"/>
    <x v="0"/>
    <s v="Printer Paper"/>
    <n v="10"/>
    <n v="347.51"/>
    <n v="3475.1"/>
    <n v="2723.88"/>
    <n v="751.22"/>
    <x v="2"/>
    <n v="0.21617219648355446"/>
  </r>
  <r>
    <s v="ORD0121"/>
    <x v="8"/>
    <x v="2"/>
    <s v="Rohan"/>
    <x v="2"/>
    <s v="Mouse"/>
    <n v="1"/>
    <n v="769.59"/>
    <n v="769.59"/>
    <n v="562.32000000000005"/>
    <n v="207.27"/>
    <x v="0"/>
    <n v="0.26932522511986901"/>
  </r>
  <r>
    <s v="ORD0122"/>
    <x v="68"/>
    <x v="0"/>
    <s v="Meera"/>
    <x v="1"/>
    <s v="Desk"/>
    <n v="10"/>
    <n v="11052.96"/>
    <n v="110529.60000000001"/>
    <n v="92950.21"/>
    <n v="17579.39"/>
    <x v="1"/>
    <n v="0.15904689784455928"/>
  </r>
  <r>
    <s v="ORD0123"/>
    <x v="104"/>
    <x v="2"/>
    <s v="Vikram"/>
    <x v="2"/>
    <s v="Laptop"/>
    <n v="14"/>
    <n v="44805.97"/>
    <n v="627283.57999999996"/>
    <n v="450078.85"/>
    <n v="177204.73"/>
    <x v="0"/>
    <n v="0.28249540662295036"/>
  </r>
  <r>
    <s v="ORD0124"/>
    <x v="105"/>
    <x v="3"/>
    <s v="Rohan"/>
    <x v="1"/>
    <s v="Desk"/>
    <n v="7"/>
    <n v="11205.49"/>
    <n v="78438.429999999993"/>
    <n v="52762.96"/>
    <n v="25675.47"/>
    <x v="0"/>
    <n v="0.32733278827737888"/>
  </r>
  <r>
    <s v="ORD0125"/>
    <x v="106"/>
    <x v="0"/>
    <s v="Rahul"/>
    <x v="0"/>
    <s v="Notebook"/>
    <n v="6"/>
    <n v="126.03"/>
    <n v="756.18"/>
    <n v="627.97"/>
    <n v="128.21"/>
    <x v="2"/>
    <n v="0.16954957814277027"/>
  </r>
  <r>
    <s v="ORD0126"/>
    <x v="107"/>
    <x v="3"/>
    <s v="Rahul"/>
    <x v="0"/>
    <s v="Printer Paper"/>
    <n v="10"/>
    <n v="382.58"/>
    <n v="3825.8"/>
    <n v="3168.7"/>
    <n v="657.1"/>
    <x v="2"/>
    <n v="0.171754927074076"/>
  </r>
  <r>
    <s v="ORD0127"/>
    <x v="108"/>
    <x v="1"/>
    <s v="Rahul"/>
    <x v="3"/>
    <s v="Webcam"/>
    <n v="10"/>
    <n v="3552.9"/>
    <n v="35529"/>
    <n v="23288.21"/>
    <n v="12240.79"/>
    <x v="0"/>
    <n v="0.34452953924962709"/>
  </r>
  <r>
    <s v="ORD0128"/>
    <x v="109"/>
    <x v="0"/>
    <s v="Rohan"/>
    <x v="1"/>
    <s v="Office Chair"/>
    <n v="9"/>
    <n v="7022.29"/>
    <n v="63200.61"/>
    <n v="51818.91"/>
    <n v="11381.7"/>
    <x v="1"/>
    <n v="0.18008845167791895"/>
  </r>
  <r>
    <s v="ORD0129"/>
    <x v="110"/>
    <x v="1"/>
    <s v="Rohan"/>
    <x v="1"/>
    <s v="Desk"/>
    <n v="8"/>
    <n v="11462.11"/>
    <n v="91696.88"/>
    <n v="76810.600000000006"/>
    <n v="14886.28"/>
    <x v="2"/>
    <n v="0.16234227380473579"/>
  </r>
  <r>
    <s v="ORD0130"/>
    <x v="111"/>
    <x v="3"/>
    <s v="Ananya"/>
    <x v="3"/>
    <s v="Webcam"/>
    <n v="7"/>
    <n v="3239.19"/>
    <n v="22674.33"/>
    <n v="16435.22"/>
    <n v="6239.11"/>
    <x v="2"/>
    <n v="0.27516182396569155"/>
  </r>
  <r>
    <s v="ORD0131"/>
    <x v="112"/>
    <x v="3"/>
    <s v="Priya"/>
    <x v="0"/>
    <s v="Notebook"/>
    <n v="1"/>
    <n v="123.67"/>
    <n v="123.67"/>
    <n v="80.69"/>
    <n v="42.98"/>
    <x v="2"/>
    <n v="0.34753780221557368"/>
  </r>
  <r>
    <s v="ORD0132"/>
    <x v="84"/>
    <x v="0"/>
    <s v="Kavya"/>
    <x v="0"/>
    <s v="Printer Paper"/>
    <n v="16"/>
    <n v="353.46"/>
    <n v="5655.36"/>
    <n v="3663.17"/>
    <n v="1992.19"/>
    <x v="2"/>
    <n v="0.3522658150851582"/>
  </r>
  <r>
    <s v="ORD0133"/>
    <x v="113"/>
    <x v="1"/>
    <s v="Priya"/>
    <x v="2"/>
    <s v="Keyboard"/>
    <n v="14"/>
    <n v="1605.84"/>
    <n v="22481.759999999998"/>
    <n v="14425.36"/>
    <n v="8056.4"/>
    <x v="1"/>
    <n v="0.35835272683277469"/>
  </r>
  <r>
    <s v="ORD0134"/>
    <x v="114"/>
    <x v="0"/>
    <s v="Imran"/>
    <x v="0"/>
    <s v="Pen Pack"/>
    <n v="16"/>
    <n v="276.89"/>
    <n v="4430.24"/>
    <n v="3453.28"/>
    <n v="976.96"/>
    <x v="1"/>
    <n v="0.2205207844270288"/>
  </r>
  <r>
    <s v="ORD0135"/>
    <x v="115"/>
    <x v="0"/>
    <s v="Imran"/>
    <x v="0"/>
    <s v="Notebook"/>
    <n v="2"/>
    <n v="129.33000000000001"/>
    <n v="258.66000000000003"/>
    <n v="178.18"/>
    <n v="80.48"/>
    <x v="0"/>
    <n v="0.31114203974329235"/>
  </r>
  <r>
    <s v="ORD0136"/>
    <x v="116"/>
    <x v="1"/>
    <s v="Rahul"/>
    <x v="3"/>
    <s v="Webcam"/>
    <n v="18"/>
    <n v="2890.56"/>
    <n v="52030.080000000002"/>
    <n v="37749.870000000003"/>
    <n v="14280.21"/>
    <x v="0"/>
    <n v="0.27446065814236686"/>
  </r>
  <r>
    <s v="ORD0137"/>
    <x v="117"/>
    <x v="2"/>
    <s v="Neha"/>
    <x v="0"/>
    <s v="Printer Paper"/>
    <n v="9"/>
    <n v="365.8"/>
    <n v="3292.2"/>
    <n v="2790.74"/>
    <n v="501.46"/>
    <x v="1"/>
    <n v="0.15231759917380475"/>
  </r>
  <r>
    <s v="ORD0138"/>
    <x v="67"/>
    <x v="2"/>
    <s v="Meera"/>
    <x v="3"/>
    <s v="Webcam"/>
    <n v="11"/>
    <n v="3162.02"/>
    <n v="34782.22"/>
    <n v="23937.26"/>
    <n v="10844.96"/>
    <x v="0"/>
    <n v="0.31179608432124223"/>
  </r>
  <r>
    <s v="ORD0139"/>
    <x v="118"/>
    <x v="1"/>
    <s v="Rohan"/>
    <x v="3"/>
    <s v="USB Drive"/>
    <n v="9"/>
    <n v="667.07"/>
    <n v="6003.63"/>
    <n v="4113.55"/>
    <n v="1890.08"/>
    <x v="0"/>
    <n v="0.31482286549970601"/>
  </r>
  <r>
    <s v="ORD0140"/>
    <x v="119"/>
    <x v="0"/>
    <s v="Imran"/>
    <x v="0"/>
    <s v="Notebook"/>
    <n v="14"/>
    <n v="110.14"/>
    <n v="1541.96"/>
    <n v="1033.72"/>
    <n v="508.24"/>
    <x v="1"/>
    <n v="0.32960647487613165"/>
  </r>
  <r>
    <s v="ORD0141"/>
    <x v="80"/>
    <x v="2"/>
    <s v="Neha"/>
    <x v="0"/>
    <s v="Printer Paper"/>
    <n v="17"/>
    <n v="348.38"/>
    <n v="5922.46"/>
    <n v="4541.38"/>
    <n v="1381.08"/>
    <x v="2"/>
    <n v="0.23319363912968596"/>
  </r>
  <r>
    <s v="ORD0142"/>
    <x v="15"/>
    <x v="2"/>
    <s v="Rohan"/>
    <x v="2"/>
    <s v="Mouse"/>
    <n v="1"/>
    <n v="709.6"/>
    <n v="709.6"/>
    <n v="606.78"/>
    <n v="102.82"/>
    <x v="2"/>
    <n v="0.14489853438556932"/>
  </r>
  <r>
    <s v="ORD0143"/>
    <x v="120"/>
    <x v="1"/>
    <s v="Kavya"/>
    <x v="3"/>
    <s v="USB Drive"/>
    <n v="6"/>
    <n v="543.48"/>
    <n v="3260.88"/>
    <n v="2523.16"/>
    <n v="737.72"/>
    <x v="1"/>
    <n v="0.22623340938642331"/>
  </r>
  <r>
    <s v="ORD0144"/>
    <x v="121"/>
    <x v="0"/>
    <s v="Meera"/>
    <x v="3"/>
    <s v="USB Drive"/>
    <n v="2"/>
    <n v="602.80999999999995"/>
    <n v="1205.6199999999999"/>
    <n v="870.98"/>
    <n v="334.64"/>
    <x v="1"/>
    <n v="0.27756672915180575"/>
  </r>
  <r>
    <s v="ORD0145"/>
    <x v="122"/>
    <x v="3"/>
    <s v="Neha"/>
    <x v="1"/>
    <s v="Office Chair"/>
    <n v="14"/>
    <n v="6048.57"/>
    <n v="84679.98"/>
    <n v="69327.39"/>
    <n v="15352.59"/>
    <x v="1"/>
    <n v="0.18130129459170871"/>
  </r>
  <r>
    <s v="ORD0146"/>
    <x v="43"/>
    <x v="0"/>
    <s v="Ananya"/>
    <x v="3"/>
    <s v="Webcam"/>
    <n v="2"/>
    <n v="2919.6"/>
    <n v="5839.2"/>
    <n v="4492.12"/>
    <n v="1347.08"/>
    <x v="2"/>
    <n v="0.23069598575147279"/>
  </r>
  <r>
    <s v="ORD0147"/>
    <x v="123"/>
    <x v="2"/>
    <s v="Neha"/>
    <x v="2"/>
    <s v="Laptop"/>
    <n v="8"/>
    <n v="48667.35"/>
    <n v="389338.8"/>
    <n v="251521.98"/>
    <n v="137816.82"/>
    <x v="0"/>
    <n v="0.35397658799996307"/>
  </r>
  <r>
    <s v="ORD0148"/>
    <x v="124"/>
    <x v="0"/>
    <s v="Aarav"/>
    <x v="3"/>
    <s v="Webcam"/>
    <n v="14"/>
    <n v="3439.92"/>
    <n v="48158.879999999997"/>
    <n v="33182.129999999997"/>
    <n v="14976.75"/>
    <x v="0"/>
    <n v="0.31098626047781841"/>
  </r>
  <r>
    <s v="ORD0149"/>
    <x v="125"/>
    <x v="1"/>
    <s v="Vikram"/>
    <x v="1"/>
    <s v="Office Chair"/>
    <n v="4"/>
    <n v="6090.15"/>
    <n v="24360.6"/>
    <n v="20562.97"/>
    <n v="3797.63"/>
    <x v="1"/>
    <n v="0.15589230150324707"/>
  </r>
  <r>
    <s v="ORD0150"/>
    <x v="126"/>
    <x v="2"/>
    <s v="Rohan"/>
    <x v="3"/>
    <s v="Webcam"/>
    <n v="11"/>
    <n v="3417.24"/>
    <n v="37589.64"/>
    <n v="23602.02"/>
    <n v="13987.62"/>
    <x v="2"/>
    <n v="0.37211369941292338"/>
  </r>
  <r>
    <s v="ORD0151"/>
    <x v="127"/>
    <x v="1"/>
    <s v="Vikram"/>
    <x v="0"/>
    <s v="Printer Paper"/>
    <n v="10"/>
    <n v="331.99"/>
    <n v="3319.9"/>
    <n v="2187.3200000000002"/>
    <n v="1132.58"/>
    <x v="0"/>
    <n v="0.34114882978402961"/>
  </r>
  <r>
    <s v="ORD0152"/>
    <x v="107"/>
    <x v="0"/>
    <s v="Priya"/>
    <x v="3"/>
    <s v="USB Drive"/>
    <n v="17"/>
    <n v="633.53"/>
    <n v="10770.01"/>
    <n v="8596.32"/>
    <n v="2173.69"/>
    <x v="1"/>
    <n v="0.201828039156881"/>
  </r>
  <r>
    <s v="ORD0153"/>
    <x v="128"/>
    <x v="0"/>
    <s v="Rahul"/>
    <x v="1"/>
    <s v="Desk"/>
    <n v="8"/>
    <n v="10144.16"/>
    <n v="81153.279999999999"/>
    <n v="62450.83"/>
    <n v="18702.45"/>
    <x v="1"/>
    <n v="0.23045833760508511"/>
  </r>
  <r>
    <s v="ORD0154"/>
    <x v="129"/>
    <x v="1"/>
    <s v="Aarav"/>
    <x v="3"/>
    <s v="USB Drive"/>
    <n v="14"/>
    <n v="648.9"/>
    <n v="9084.6"/>
    <n v="5977.35"/>
    <n v="3107.25"/>
    <x v="1"/>
    <n v="0.34203487220130768"/>
  </r>
  <r>
    <s v="ORD0155"/>
    <x v="25"/>
    <x v="0"/>
    <s v="Rohan"/>
    <x v="1"/>
    <s v="Bookshelf"/>
    <n v="4"/>
    <n v="8570.5300000000007"/>
    <n v="34282.120000000003"/>
    <n v="27852.93"/>
    <n v="6429.19"/>
    <x v="0"/>
    <n v="0.18753770186907925"/>
  </r>
  <r>
    <s v="ORD0156"/>
    <x v="2"/>
    <x v="0"/>
    <s v="Neha"/>
    <x v="2"/>
    <s v="Monitor"/>
    <n v="5"/>
    <n v="12019.32"/>
    <n v="60096.6"/>
    <n v="49814.09"/>
    <n v="10282.51"/>
    <x v="2"/>
    <n v="0.17109969615585574"/>
  </r>
  <r>
    <s v="ORD0157"/>
    <x v="130"/>
    <x v="0"/>
    <s v="Rahul"/>
    <x v="2"/>
    <s v="Keyboard"/>
    <n v="8"/>
    <n v="1502.76"/>
    <n v="12022.08"/>
    <n v="8351.2000000000007"/>
    <n v="3670.88"/>
    <x v="0"/>
    <n v="0.30534483217546382"/>
  </r>
  <r>
    <s v="ORD0158"/>
    <x v="131"/>
    <x v="3"/>
    <s v="Meera"/>
    <x v="3"/>
    <s v="USB Drive"/>
    <n v="14"/>
    <n v="628.44000000000005"/>
    <n v="8798.16"/>
    <n v="5856.73"/>
    <n v="2941.43"/>
    <x v="0"/>
    <n v="0.33432331305636631"/>
  </r>
  <r>
    <s v="ORD0159"/>
    <x v="132"/>
    <x v="3"/>
    <s v="Ananya"/>
    <x v="2"/>
    <s v="Monitor"/>
    <n v="13"/>
    <n v="12680.01"/>
    <n v="164840.13"/>
    <n v="127526.87"/>
    <n v="37313.26"/>
    <x v="1"/>
    <n v="0.22636029224194376"/>
  </r>
  <r>
    <s v="ORD0160"/>
    <x v="133"/>
    <x v="1"/>
    <s v="Neha"/>
    <x v="1"/>
    <s v="Office Chair"/>
    <n v="12"/>
    <n v="6644.42"/>
    <n v="79733.039999999994"/>
    <n v="59191.17"/>
    <n v="20541.87"/>
    <x v="1"/>
    <n v="0.25763309664349937"/>
  </r>
  <r>
    <s v="ORD0161"/>
    <x v="34"/>
    <x v="0"/>
    <s v="Neha"/>
    <x v="1"/>
    <s v="Office Chair"/>
    <n v="15"/>
    <n v="6337.66"/>
    <n v="95064.9"/>
    <n v="78914.289999999994"/>
    <n v="16150.61"/>
    <x v="2"/>
    <n v="0.16989035911256417"/>
  </r>
  <r>
    <s v="ORD0162"/>
    <x v="134"/>
    <x v="3"/>
    <s v="Imran"/>
    <x v="2"/>
    <s v="Mouse"/>
    <n v="3"/>
    <n v="719.88"/>
    <n v="2159.64"/>
    <n v="1427.26"/>
    <n v="732.38"/>
    <x v="1"/>
    <n v="0.33912133503732106"/>
  </r>
  <r>
    <s v="ORD0163"/>
    <x v="135"/>
    <x v="2"/>
    <s v="Vikram"/>
    <x v="1"/>
    <s v="Desk"/>
    <n v="9"/>
    <n v="12251.29"/>
    <n v="110261.61"/>
    <n v="88071.44"/>
    <n v="22190.17"/>
    <x v="1"/>
    <n v="0.2012501903427675"/>
  </r>
  <r>
    <s v="ORD0164"/>
    <x v="129"/>
    <x v="2"/>
    <s v="Rohan"/>
    <x v="2"/>
    <s v="Monitor"/>
    <n v="5"/>
    <n v="13133.78"/>
    <n v="65668.899999999994"/>
    <n v="53395.56"/>
    <n v="12273.34"/>
    <x v="2"/>
    <n v="0.18689729841675437"/>
  </r>
  <r>
    <s v="ORD0165"/>
    <x v="51"/>
    <x v="2"/>
    <s v="Vikram"/>
    <x v="2"/>
    <s v="Mouse"/>
    <n v="1"/>
    <n v="684.36"/>
    <n v="684.36"/>
    <n v="485.73"/>
    <n v="198.63"/>
    <x v="0"/>
    <n v="0.29024197790636508"/>
  </r>
  <r>
    <s v="ORD0166"/>
    <x v="136"/>
    <x v="3"/>
    <s v="Rohan"/>
    <x v="0"/>
    <s v="Printer Paper"/>
    <n v="20"/>
    <n v="345.56"/>
    <n v="6911.2"/>
    <n v="4578.41"/>
    <n v="2332.79"/>
    <x v="0"/>
    <n v="0.33753762009491839"/>
  </r>
  <r>
    <s v="ORD0167"/>
    <x v="26"/>
    <x v="1"/>
    <s v="Imran"/>
    <x v="3"/>
    <s v="USB Drive"/>
    <n v="6"/>
    <n v="604.16"/>
    <n v="3624.96"/>
    <n v="2879.88"/>
    <n v="745.08"/>
    <x v="1"/>
    <n v="0.20554157838983053"/>
  </r>
  <r>
    <s v="ORD0168"/>
    <x v="137"/>
    <x v="1"/>
    <s v="Rahul"/>
    <x v="2"/>
    <s v="Keyboard"/>
    <n v="17"/>
    <n v="1560.22"/>
    <n v="26523.74"/>
    <n v="17614.62"/>
    <n v="8909.1200000000008"/>
    <x v="1"/>
    <n v="0.33589229874821575"/>
  </r>
  <r>
    <s v="ORD0169"/>
    <x v="138"/>
    <x v="1"/>
    <s v="Rohan"/>
    <x v="0"/>
    <s v="Printer Paper"/>
    <n v="6"/>
    <n v="342.61"/>
    <n v="2055.66"/>
    <n v="1420.73"/>
    <n v="634.92999999999995"/>
    <x v="2"/>
    <n v="0.30886917097185335"/>
  </r>
  <r>
    <s v="ORD0170"/>
    <x v="139"/>
    <x v="3"/>
    <s v="Priya"/>
    <x v="0"/>
    <s v="Notebook"/>
    <n v="5"/>
    <n v="117.79"/>
    <n v="588.95000000000005"/>
    <n v="497.77"/>
    <n v="91.18"/>
    <x v="1"/>
    <n v="0.15481789625604889"/>
  </r>
  <r>
    <s v="ORD0171"/>
    <x v="4"/>
    <x v="2"/>
    <s v="Neha"/>
    <x v="1"/>
    <s v="Desk"/>
    <n v="1"/>
    <n v="11782.7"/>
    <n v="11782.7"/>
    <n v="9397.86"/>
    <n v="2384.84"/>
    <x v="0"/>
    <n v="0.20240182640651125"/>
  </r>
  <r>
    <s v="ORD0172"/>
    <x v="140"/>
    <x v="2"/>
    <s v="Neha"/>
    <x v="0"/>
    <s v="Notebook"/>
    <n v="11"/>
    <n v="113.77"/>
    <n v="1251.47"/>
    <n v="1030.94"/>
    <n v="220.53"/>
    <x v="1"/>
    <n v="0.17621676907956244"/>
  </r>
  <r>
    <s v="ORD0173"/>
    <x v="141"/>
    <x v="3"/>
    <s v="Neha"/>
    <x v="0"/>
    <s v="Printer Paper"/>
    <n v="16"/>
    <n v="344.28"/>
    <n v="5508.48"/>
    <n v="4233.32"/>
    <n v="1275.1600000000001"/>
    <x v="0"/>
    <n v="0.23149035668641807"/>
  </r>
  <r>
    <s v="ORD0174"/>
    <x v="15"/>
    <x v="3"/>
    <s v="Meera"/>
    <x v="1"/>
    <s v="Office Chair"/>
    <n v="20"/>
    <n v="5857.34"/>
    <n v="117146.8"/>
    <n v="79623.649999999994"/>
    <n v="37523.15"/>
    <x v="1"/>
    <n v="0.32030879204553603"/>
  </r>
  <r>
    <s v="ORD0175"/>
    <x v="142"/>
    <x v="1"/>
    <s v="Kavya"/>
    <x v="2"/>
    <s v="Monitor"/>
    <n v="14"/>
    <n v="11341.38"/>
    <n v="158779.32"/>
    <n v="100565.35"/>
    <n v="58213.97"/>
    <x v="0"/>
    <n v="0.36663445844206916"/>
  </r>
  <r>
    <s v="ORD0176"/>
    <x v="143"/>
    <x v="2"/>
    <s v="Kavya"/>
    <x v="0"/>
    <s v="Notebook"/>
    <n v="9"/>
    <n v="127.99"/>
    <n v="1151.9100000000001"/>
    <n v="951.54"/>
    <n v="200.37"/>
    <x v="2"/>
    <n v="0.17394588118863452"/>
  </r>
  <r>
    <s v="ORD0177"/>
    <x v="109"/>
    <x v="2"/>
    <s v="Neha"/>
    <x v="3"/>
    <s v="USB Drive"/>
    <n v="1"/>
    <n v="540.04"/>
    <n v="540.04"/>
    <n v="379.6"/>
    <n v="160.44"/>
    <x v="1"/>
    <n v="0.29708910451077697"/>
  </r>
  <r>
    <s v="ORD0178"/>
    <x v="144"/>
    <x v="0"/>
    <s v="Rohan"/>
    <x v="2"/>
    <s v="Laptop"/>
    <n v="18"/>
    <n v="43370.28"/>
    <n v="780665.04"/>
    <n v="613785.99"/>
    <n v="166879.04999999999"/>
    <x v="0"/>
    <n v="0.21376524046728157"/>
  </r>
  <r>
    <s v="ORD0179"/>
    <x v="145"/>
    <x v="1"/>
    <s v="Meera"/>
    <x v="3"/>
    <s v="USB Drive"/>
    <n v="7"/>
    <n v="640.20000000000005"/>
    <n v="4481.3999999999996"/>
    <n v="3433.98"/>
    <n v="1047.42"/>
    <x v="2"/>
    <n v="0.23372606774668633"/>
  </r>
  <r>
    <s v="ORD0180"/>
    <x v="146"/>
    <x v="1"/>
    <s v="Priya"/>
    <x v="0"/>
    <s v="Pen Pack"/>
    <n v="9"/>
    <n v="251.65"/>
    <n v="2264.85"/>
    <n v="1945.85"/>
    <n v="319"/>
    <x v="0"/>
    <n v="0.14084817979115616"/>
  </r>
  <r>
    <s v="ORD0181"/>
    <x v="147"/>
    <x v="0"/>
    <s v="Rahul"/>
    <x v="0"/>
    <s v="Notebook"/>
    <n v="18"/>
    <n v="124.45"/>
    <n v="2240.1"/>
    <n v="1685.44"/>
    <n v="554.66"/>
    <x v="1"/>
    <n v="0.24760501763314138"/>
  </r>
  <r>
    <s v="ORD0182"/>
    <x v="148"/>
    <x v="2"/>
    <s v="Vikram"/>
    <x v="2"/>
    <s v="Monitor"/>
    <n v="16"/>
    <n v="11043.25"/>
    <n v="176692"/>
    <n v="123927.42"/>
    <n v="52764.58"/>
    <x v="0"/>
    <n v="0.29862461231974285"/>
  </r>
  <r>
    <s v="ORD0183"/>
    <x v="149"/>
    <x v="1"/>
    <s v="Neha"/>
    <x v="2"/>
    <s v="Monitor"/>
    <n v="9"/>
    <n v="10906.01"/>
    <n v="98154.09"/>
    <n v="62792.98"/>
    <n v="35361.11"/>
    <x v="0"/>
    <n v="0.36026119747022262"/>
  </r>
  <r>
    <s v="ORD0184"/>
    <x v="137"/>
    <x v="2"/>
    <s v="Meera"/>
    <x v="2"/>
    <s v="Monitor"/>
    <n v="15"/>
    <n v="12453.01"/>
    <n v="186795.15"/>
    <n v="151175.20000000001"/>
    <n v="35619.949999999997"/>
    <x v="2"/>
    <n v="0.19068990816945727"/>
  </r>
  <r>
    <s v="ORD0185"/>
    <x v="123"/>
    <x v="1"/>
    <s v="Kavya"/>
    <x v="0"/>
    <s v="Printer Paper"/>
    <n v="10"/>
    <n v="364.2"/>
    <n v="3642"/>
    <n v="2685.8"/>
    <n v="956.2"/>
    <x v="0"/>
    <n v="0.26254805052169139"/>
  </r>
  <r>
    <s v="ORD0186"/>
    <x v="47"/>
    <x v="1"/>
    <s v="Imran"/>
    <x v="2"/>
    <s v="Mouse"/>
    <n v="7"/>
    <n v="733.4"/>
    <n v="5133.8"/>
    <n v="3287.55"/>
    <n v="1846.25"/>
    <x v="1"/>
    <n v="0.35962639760021814"/>
  </r>
  <r>
    <s v="ORD0187"/>
    <x v="149"/>
    <x v="2"/>
    <s v="Vikram"/>
    <x v="0"/>
    <s v="Notebook"/>
    <n v="19"/>
    <n v="134.09"/>
    <n v="2547.71"/>
    <n v="1986.87"/>
    <n v="560.84"/>
    <x v="0"/>
    <n v="0.22013494471505785"/>
  </r>
  <r>
    <s v="ORD0188"/>
    <x v="35"/>
    <x v="1"/>
    <s v="Vikram"/>
    <x v="1"/>
    <s v="Bookshelf"/>
    <n v="6"/>
    <n v="7964.15"/>
    <n v="47784.9"/>
    <n v="41081.9"/>
    <n v="6703"/>
    <x v="2"/>
    <n v="0.14027443815933485"/>
  </r>
  <r>
    <s v="ORD0189"/>
    <x v="150"/>
    <x v="2"/>
    <s v="Priya"/>
    <x v="3"/>
    <s v="Headset"/>
    <n v="14"/>
    <n v="1985.78"/>
    <n v="27800.92"/>
    <n v="20360.03"/>
    <n v="7440.89"/>
    <x v="0"/>
    <n v="0.26764905621828344"/>
  </r>
  <r>
    <s v="ORD0190"/>
    <x v="151"/>
    <x v="2"/>
    <s v="Aarav"/>
    <x v="0"/>
    <s v="Pen Pack"/>
    <n v="19"/>
    <n v="233.74"/>
    <n v="4441.0600000000004"/>
    <n v="3653.29"/>
    <n v="787.77"/>
    <x v="2"/>
    <n v="0.17738332740381799"/>
  </r>
  <r>
    <s v="ORD0191"/>
    <x v="39"/>
    <x v="1"/>
    <s v="Neha"/>
    <x v="2"/>
    <s v="Monitor"/>
    <n v="20"/>
    <n v="12698.21"/>
    <n v="253964.2"/>
    <n v="218131.05"/>
    <n v="35833.15"/>
    <x v="2"/>
    <n v="0.14109528035841273"/>
  </r>
  <r>
    <s v="ORD0192"/>
    <x v="152"/>
    <x v="1"/>
    <s v="Kavya"/>
    <x v="2"/>
    <s v="Monitor"/>
    <n v="4"/>
    <n v="12660.2"/>
    <n v="50640.800000000003"/>
    <n v="40850.86"/>
    <n v="9789.94"/>
    <x v="2"/>
    <n v="0.19332119555773211"/>
  </r>
  <r>
    <s v="ORD0193"/>
    <x v="119"/>
    <x v="0"/>
    <s v="Rahul"/>
    <x v="1"/>
    <s v="Bookshelf"/>
    <n v="7"/>
    <n v="8145.38"/>
    <n v="57017.66"/>
    <n v="43131.38"/>
    <n v="13886.28"/>
    <x v="1"/>
    <n v="0.24354349161294939"/>
  </r>
  <r>
    <s v="ORD0194"/>
    <x v="14"/>
    <x v="2"/>
    <s v="Meera"/>
    <x v="3"/>
    <s v="Webcam"/>
    <n v="4"/>
    <n v="3097.62"/>
    <n v="12390.48"/>
    <n v="9166.93"/>
    <n v="3223.55"/>
    <x v="2"/>
    <n v="0.26016344806658015"/>
  </r>
  <r>
    <s v="ORD0195"/>
    <x v="103"/>
    <x v="0"/>
    <s v="Priya"/>
    <x v="3"/>
    <s v="Headset"/>
    <n v="15"/>
    <n v="2322.6"/>
    <n v="34839"/>
    <n v="27794.21"/>
    <n v="7044.79"/>
    <x v="1"/>
    <n v="0.20220987973248372"/>
  </r>
  <r>
    <s v="ORD0196"/>
    <x v="153"/>
    <x v="3"/>
    <s v="Rahul"/>
    <x v="3"/>
    <s v="Webcam"/>
    <n v="17"/>
    <n v="3184.63"/>
    <n v="54138.71"/>
    <n v="39848.04"/>
    <n v="14290.67"/>
    <x v="1"/>
    <n v="0.26396399175377472"/>
  </r>
  <r>
    <s v="ORD0197"/>
    <x v="106"/>
    <x v="1"/>
    <s v="Kavya"/>
    <x v="2"/>
    <s v="Mouse"/>
    <n v="14"/>
    <n v="635.41"/>
    <n v="8895.74"/>
    <n v="7321.51"/>
    <n v="1574.23"/>
    <x v="2"/>
    <n v="0.17696447962732725"/>
  </r>
  <r>
    <s v="ORD0198"/>
    <x v="154"/>
    <x v="1"/>
    <s v="Rohan"/>
    <x v="1"/>
    <s v="Bookshelf"/>
    <n v="20"/>
    <n v="7440.17"/>
    <n v="148803.4"/>
    <n v="114078.73"/>
    <n v="34724.67"/>
    <x v="0"/>
    <n v="0.23335938560543643"/>
  </r>
  <r>
    <s v="ORD0199"/>
    <x v="155"/>
    <x v="2"/>
    <s v="Kavya"/>
    <x v="3"/>
    <s v="Webcam"/>
    <n v="14"/>
    <n v="3260.29"/>
    <n v="45644.06"/>
    <n v="34710.31"/>
    <n v="10933.75"/>
    <x v="0"/>
    <n v="0.23954376538809213"/>
  </r>
  <r>
    <s v="ORD0200"/>
    <x v="156"/>
    <x v="2"/>
    <s v="Meera"/>
    <x v="2"/>
    <s v="Laptop"/>
    <n v="17"/>
    <n v="47070.71"/>
    <n v="800202.07"/>
    <n v="544388.03"/>
    <n v="255814.04"/>
    <x v="0"/>
    <n v="0.31968680111012465"/>
  </r>
  <r>
    <s v="ORD0201"/>
    <x v="69"/>
    <x v="1"/>
    <s v="Imran"/>
    <x v="1"/>
    <s v="Bookshelf"/>
    <n v="1"/>
    <n v="8852.18"/>
    <n v="8852.18"/>
    <n v="6341.41"/>
    <n v="2510.77"/>
    <x v="1"/>
    <n v="0.28363295820916429"/>
  </r>
  <r>
    <s v="ORD0202"/>
    <x v="157"/>
    <x v="0"/>
    <s v="Vikram"/>
    <x v="3"/>
    <s v="Headset"/>
    <n v="6"/>
    <n v="2413.81"/>
    <n v="14482.86"/>
    <n v="9595.07"/>
    <n v="4887.79"/>
    <x v="2"/>
    <n v="0.33748789948946545"/>
  </r>
  <r>
    <s v="ORD0203"/>
    <x v="158"/>
    <x v="2"/>
    <s v="Imran"/>
    <x v="3"/>
    <s v="USB Drive"/>
    <n v="10"/>
    <n v="637.79"/>
    <n v="6377.9"/>
    <n v="5398.41"/>
    <n v="979.49"/>
    <x v="0"/>
    <n v="0.15357562834161714"/>
  </r>
  <r>
    <s v="ORD0204"/>
    <x v="159"/>
    <x v="2"/>
    <s v="Imran"/>
    <x v="0"/>
    <s v="Printer Paper"/>
    <n v="8"/>
    <n v="323.13"/>
    <n v="2585.04"/>
    <n v="2060.4"/>
    <n v="524.64"/>
    <x v="1"/>
    <n v="0.20295237211029615"/>
  </r>
  <r>
    <s v="ORD0205"/>
    <x v="41"/>
    <x v="0"/>
    <s v="Kavya"/>
    <x v="0"/>
    <s v="Notebook"/>
    <n v="20"/>
    <n v="130.21"/>
    <n v="2604.1999999999998"/>
    <n v="2160.75"/>
    <n v="443.45"/>
    <x v="0"/>
    <n v="0.17028262038245912"/>
  </r>
  <r>
    <s v="ORD0206"/>
    <x v="160"/>
    <x v="3"/>
    <s v="Rohan"/>
    <x v="0"/>
    <s v="Printer Paper"/>
    <n v="8"/>
    <n v="329.22"/>
    <n v="2633.76"/>
    <n v="2086.81"/>
    <n v="546.95000000000005"/>
    <x v="2"/>
    <n v="0.20766888402891684"/>
  </r>
  <r>
    <s v="ORD0207"/>
    <x v="161"/>
    <x v="1"/>
    <s v="Rohan"/>
    <x v="0"/>
    <s v="Notebook"/>
    <n v="9"/>
    <n v="130.01"/>
    <n v="1170.0899999999999"/>
    <n v="995.13"/>
    <n v="174.96"/>
    <x v="2"/>
    <n v="0.14952695946465658"/>
  </r>
  <r>
    <s v="ORD0208"/>
    <x v="162"/>
    <x v="2"/>
    <s v="Ananya"/>
    <x v="0"/>
    <s v="Printer Paper"/>
    <n v="2"/>
    <n v="315.23"/>
    <n v="630.46"/>
    <n v="462.46"/>
    <n v="168"/>
    <x v="0"/>
    <n v="0.26647209973670016"/>
  </r>
  <r>
    <s v="ORD0209"/>
    <x v="163"/>
    <x v="2"/>
    <s v="Priya"/>
    <x v="2"/>
    <s v="Laptop"/>
    <n v="18"/>
    <n v="40569.17"/>
    <n v="730245.06"/>
    <n v="552785.61"/>
    <n v="177459.45"/>
    <x v="0"/>
    <n v="0.24301355766788754"/>
  </r>
  <r>
    <s v="ORD0210"/>
    <x v="27"/>
    <x v="0"/>
    <s v="Vikram"/>
    <x v="1"/>
    <s v="Office Chair"/>
    <n v="18"/>
    <n v="5943.51"/>
    <n v="106983.18"/>
    <n v="72702.899999999994"/>
    <n v="34280.28"/>
    <x v="1"/>
    <n v="0.32042681849614119"/>
  </r>
  <r>
    <s v="ORD0211"/>
    <x v="164"/>
    <x v="1"/>
    <s v="Priya"/>
    <x v="2"/>
    <s v="Monitor"/>
    <n v="2"/>
    <n v="11610.76"/>
    <n v="23221.52"/>
    <n v="17025.95"/>
    <n v="6195.57"/>
    <x v="0"/>
    <n v="0.2668029482996806"/>
  </r>
  <r>
    <s v="ORD0212"/>
    <x v="165"/>
    <x v="0"/>
    <s v="Neha"/>
    <x v="2"/>
    <s v="Monitor"/>
    <n v="6"/>
    <n v="13027.87"/>
    <n v="78167.22"/>
    <n v="48935.23"/>
    <n v="29231.99"/>
    <x v="1"/>
    <n v="0.37396737404758673"/>
  </r>
  <r>
    <s v="ORD0213"/>
    <x v="166"/>
    <x v="3"/>
    <s v="Priya"/>
    <x v="2"/>
    <s v="Keyboard"/>
    <n v="6"/>
    <n v="1499.89"/>
    <n v="8999.34"/>
    <n v="5689.22"/>
    <n v="3310.12"/>
    <x v="2"/>
    <n v="0.36781808443730318"/>
  </r>
  <r>
    <s v="ORD0214"/>
    <x v="139"/>
    <x v="0"/>
    <s v="Imran"/>
    <x v="2"/>
    <s v="Keyboard"/>
    <n v="1"/>
    <n v="1385.32"/>
    <n v="1385.32"/>
    <n v="1134.46"/>
    <n v="250.86"/>
    <x v="0"/>
    <n v="0.18108451476915083"/>
  </r>
  <r>
    <s v="ORD0215"/>
    <x v="167"/>
    <x v="2"/>
    <s v="Rahul"/>
    <x v="0"/>
    <s v="Notebook"/>
    <n v="2"/>
    <n v="134.16999999999999"/>
    <n v="268.33999999999997"/>
    <n v="183.25"/>
    <n v="85.09"/>
    <x v="2"/>
    <n v="0.31709771185809055"/>
  </r>
  <r>
    <s v="ORD0216"/>
    <x v="137"/>
    <x v="1"/>
    <s v="Rahul"/>
    <x v="1"/>
    <s v="Desk"/>
    <n v="10"/>
    <n v="10048.42"/>
    <n v="100484.2"/>
    <n v="73493.919999999998"/>
    <n v="26990.28"/>
    <x v="0"/>
    <n v="0.26860222801196604"/>
  </r>
  <r>
    <s v="ORD0217"/>
    <x v="50"/>
    <x v="3"/>
    <s v="Kavya"/>
    <x v="0"/>
    <s v="Printer Paper"/>
    <n v="3"/>
    <n v="382.22"/>
    <n v="1146.6600000000001"/>
    <n v="943.21"/>
    <n v="203.45"/>
    <x v="2"/>
    <n v="0.17742835714161126"/>
  </r>
  <r>
    <s v="ORD0218"/>
    <x v="95"/>
    <x v="3"/>
    <s v="Kavya"/>
    <x v="0"/>
    <s v="Notebook"/>
    <n v="8"/>
    <n v="112.93"/>
    <n v="903.44"/>
    <n v="653.52"/>
    <n v="249.92"/>
    <x v="2"/>
    <n v="0.27663154166297704"/>
  </r>
  <r>
    <s v="ORD0219"/>
    <x v="15"/>
    <x v="3"/>
    <s v="Vikram"/>
    <x v="2"/>
    <s v="Monitor"/>
    <n v="18"/>
    <n v="12085.74"/>
    <n v="217543.32"/>
    <n v="161002.69"/>
    <n v="56540.63"/>
    <x v="0"/>
    <n v="0.25990515360342942"/>
  </r>
  <r>
    <s v="ORD0220"/>
    <x v="168"/>
    <x v="0"/>
    <s v="Ananya"/>
    <x v="2"/>
    <s v="Laptop"/>
    <n v="6"/>
    <n v="44282.080000000002"/>
    <n v="265692.48"/>
    <n v="217102.3"/>
    <n v="48590.18"/>
    <x v="0"/>
    <n v="0.18288127688070058"/>
  </r>
  <r>
    <s v="ORD0221"/>
    <x v="169"/>
    <x v="1"/>
    <s v="Imran"/>
    <x v="0"/>
    <s v="Printer Paper"/>
    <n v="4"/>
    <n v="366.35"/>
    <n v="1465.4"/>
    <n v="1091.71"/>
    <n v="373.69"/>
    <x v="0"/>
    <n v="0.25500887129793909"/>
  </r>
  <r>
    <s v="ORD0222"/>
    <x v="170"/>
    <x v="2"/>
    <s v="Aarav"/>
    <x v="3"/>
    <s v="Headset"/>
    <n v="14"/>
    <n v="2327.5100000000002"/>
    <n v="32585.14"/>
    <n v="23856.84"/>
    <n v="8728.2999999999993"/>
    <x v="2"/>
    <n v="0.26786136257201898"/>
  </r>
  <r>
    <s v="ORD0223"/>
    <x v="85"/>
    <x v="3"/>
    <s v="Neha"/>
    <x v="2"/>
    <s v="Keyboard"/>
    <n v="16"/>
    <n v="1559.82"/>
    <n v="24957.119999999999"/>
    <n v="16403.810000000001"/>
    <n v="8553.31"/>
    <x v="0"/>
    <n v="0.34272023374491928"/>
  </r>
  <r>
    <s v="ORD0224"/>
    <x v="171"/>
    <x v="1"/>
    <s v="Rahul"/>
    <x v="2"/>
    <s v="Keyboard"/>
    <n v="4"/>
    <n v="1437.67"/>
    <n v="5750.68"/>
    <n v="4553.3100000000004"/>
    <n v="1197.3699999999999"/>
    <x v="1"/>
    <n v="0.20821363734375758"/>
  </r>
  <r>
    <s v="ORD0225"/>
    <x v="172"/>
    <x v="2"/>
    <s v="Priya"/>
    <x v="2"/>
    <s v="Keyboard"/>
    <n v="4"/>
    <n v="1510.92"/>
    <n v="6043.68"/>
    <n v="4935.54"/>
    <n v="1108.1400000000001"/>
    <x v="0"/>
    <n v="0.18335517433087126"/>
  </r>
  <r>
    <s v="ORD0226"/>
    <x v="173"/>
    <x v="1"/>
    <s v="Imran"/>
    <x v="1"/>
    <s v="Desk"/>
    <n v="7"/>
    <n v="10038.98"/>
    <n v="70272.86"/>
    <n v="55836.49"/>
    <n v="14436.37"/>
    <x v="0"/>
    <n v="0.20543307900091159"/>
  </r>
  <r>
    <s v="ORD0227"/>
    <x v="56"/>
    <x v="0"/>
    <s v="Imran"/>
    <x v="2"/>
    <s v="Mouse"/>
    <n v="9"/>
    <n v="696.48"/>
    <n v="6268.32"/>
    <n v="4828.1000000000004"/>
    <n v="1440.22"/>
    <x v="0"/>
    <n v="0.22976172243918627"/>
  </r>
  <r>
    <s v="ORD0228"/>
    <x v="100"/>
    <x v="0"/>
    <s v="Neha"/>
    <x v="1"/>
    <s v="Office Chair"/>
    <n v="17"/>
    <n v="6285.73"/>
    <n v="106857.41"/>
    <n v="76144.25"/>
    <n v="30713.16"/>
    <x v="0"/>
    <n v="0.28742190176610116"/>
  </r>
  <r>
    <s v="ORD0229"/>
    <x v="148"/>
    <x v="0"/>
    <s v="Imran"/>
    <x v="2"/>
    <s v="Keyboard"/>
    <n v="17"/>
    <n v="1446.91"/>
    <n v="24597.47"/>
    <n v="17719.5"/>
    <n v="6877.97"/>
    <x v="0"/>
    <n v="0.27962103419579332"/>
  </r>
  <r>
    <s v="ORD0230"/>
    <x v="63"/>
    <x v="3"/>
    <s v="Kavya"/>
    <x v="3"/>
    <s v="USB Drive"/>
    <n v="11"/>
    <n v="628.78"/>
    <n v="6916.58"/>
    <n v="5762.94"/>
    <n v="1153.6400000000001"/>
    <x v="0"/>
    <n v="0.16679341524279342"/>
  </r>
  <r>
    <s v="ORD0231"/>
    <x v="174"/>
    <x v="2"/>
    <s v="Rahul"/>
    <x v="3"/>
    <s v="USB Drive"/>
    <n v="11"/>
    <n v="665.1"/>
    <n v="7316.1"/>
    <n v="5238.99"/>
    <n v="2077.11"/>
    <x v="2"/>
    <n v="0.28390945995817446"/>
  </r>
  <r>
    <s v="ORD0232"/>
    <x v="74"/>
    <x v="3"/>
    <s v="Imran"/>
    <x v="1"/>
    <s v="Desk"/>
    <n v="12"/>
    <n v="9908.33"/>
    <n v="118899.96"/>
    <n v="92178.94"/>
    <n v="26721.02"/>
    <x v="2"/>
    <n v="0.22473531530204047"/>
  </r>
  <r>
    <s v="ORD0233"/>
    <x v="175"/>
    <x v="2"/>
    <s v="Rohan"/>
    <x v="0"/>
    <s v="Notebook"/>
    <n v="18"/>
    <n v="108.86"/>
    <n v="1959.48"/>
    <n v="1241.23"/>
    <n v="718.25"/>
    <x v="2"/>
    <n v="0.36655132994467921"/>
  </r>
  <r>
    <s v="ORD0234"/>
    <x v="176"/>
    <x v="1"/>
    <s v="Neha"/>
    <x v="2"/>
    <s v="Keyboard"/>
    <n v="18"/>
    <n v="1561.65"/>
    <n v="28109.7"/>
    <n v="24000.27"/>
    <n v="4109.43"/>
    <x v="0"/>
    <n v="0.14619259543858526"/>
  </r>
  <r>
    <s v="ORD0235"/>
    <x v="177"/>
    <x v="3"/>
    <s v="Rohan"/>
    <x v="3"/>
    <s v="Webcam"/>
    <n v="19"/>
    <n v="3379.67"/>
    <n v="64213.73"/>
    <n v="45389.4"/>
    <n v="18824.330000000002"/>
    <x v="2"/>
    <n v="0.29315116876094882"/>
  </r>
  <r>
    <s v="ORD0236"/>
    <x v="178"/>
    <x v="3"/>
    <s v="Rohan"/>
    <x v="0"/>
    <s v="Notebook"/>
    <n v="16"/>
    <n v="133.47999999999999"/>
    <n v="2135.6799999999998"/>
    <n v="1748.4"/>
    <n v="387.28"/>
    <x v="2"/>
    <n v="0.18133802816901409"/>
  </r>
  <r>
    <s v="ORD0237"/>
    <x v="104"/>
    <x v="3"/>
    <s v="Ananya"/>
    <x v="3"/>
    <s v="USB Drive"/>
    <n v="8"/>
    <n v="602.71"/>
    <n v="4821.68"/>
    <n v="3337.04"/>
    <n v="1484.64"/>
    <x v="2"/>
    <n v="0.30790927643476962"/>
  </r>
  <r>
    <s v="ORD0238"/>
    <x v="179"/>
    <x v="3"/>
    <s v="Imran"/>
    <x v="3"/>
    <s v="Webcam"/>
    <n v="18"/>
    <n v="3210.13"/>
    <n v="57782.34"/>
    <n v="39504.53"/>
    <n v="18277.810000000001"/>
    <x v="0"/>
    <n v="0.31632173428767341"/>
  </r>
  <r>
    <s v="ORD0239"/>
    <x v="180"/>
    <x v="1"/>
    <s v="Ananya"/>
    <x v="3"/>
    <s v="Headset"/>
    <n v="1"/>
    <n v="2114.33"/>
    <n v="2114.33"/>
    <n v="1473.31"/>
    <n v="641.02"/>
    <x v="2"/>
    <n v="0.30317878476869742"/>
  </r>
  <r>
    <s v="ORD0240"/>
    <x v="181"/>
    <x v="2"/>
    <s v="Rahul"/>
    <x v="0"/>
    <s v="Printer Paper"/>
    <n v="6"/>
    <n v="367.58"/>
    <n v="2205.48"/>
    <n v="1677.13"/>
    <n v="528.35"/>
    <x v="2"/>
    <n v="0.239562362841649"/>
  </r>
  <r>
    <s v="ORD0241"/>
    <x v="182"/>
    <x v="2"/>
    <s v="Imran"/>
    <x v="2"/>
    <s v="Keyboard"/>
    <n v="17"/>
    <n v="1545.13"/>
    <n v="26267.21"/>
    <n v="18623.169999999998"/>
    <n v="7644.04"/>
    <x v="0"/>
    <n v="0.2910107316308051"/>
  </r>
  <r>
    <s v="ORD0242"/>
    <x v="183"/>
    <x v="3"/>
    <s v="Imran"/>
    <x v="0"/>
    <s v="Pen Pack"/>
    <n v="1"/>
    <n v="242.22"/>
    <n v="242.22"/>
    <n v="178.33"/>
    <n v="63.89"/>
    <x v="2"/>
    <n v="0.26376847494013705"/>
  </r>
  <r>
    <s v="ORD0243"/>
    <x v="162"/>
    <x v="3"/>
    <s v="Neha"/>
    <x v="1"/>
    <s v="Desk"/>
    <n v="12"/>
    <n v="10602.98"/>
    <n v="127235.76"/>
    <n v="88528.320000000007"/>
    <n v="38707.440000000002"/>
    <x v="1"/>
    <n v="0.30421824807742731"/>
  </r>
  <r>
    <s v="ORD0244"/>
    <x v="8"/>
    <x v="3"/>
    <s v="Rohan"/>
    <x v="2"/>
    <s v="Keyboard"/>
    <n v="19"/>
    <n v="1543.46"/>
    <n v="29325.74"/>
    <n v="20485.7"/>
    <n v="8840.0400000000009"/>
    <x v="1"/>
    <n v="0.30144303263958561"/>
  </r>
  <r>
    <s v="ORD0245"/>
    <x v="60"/>
    <x v="2"/>
    <s v="Priya"/>
    <x v="2"/>
    <s v="Monitor"/>
    <n v="11"/>
    <n v="11992.12"/>
    <n v="131913.32"/>
    <n v="102967.41"/>
    <n v="28945.91"/>
    <x v="0"/>
    <n v="0.21943129018358418"/>
  </r>
  <r>
    <s v="ORD0246"/>
    <x v="178"/>
    <x v="0"/>
    <s v="Ananya"/>
    <x v="1"/>
    <s v="Office Chair"/>
    <n v="11"/>
    <n v="6889.24"/>
    <n v="75781.64"/>
    <n v="59053.7"/>
    <n v="16727.939999999999"/>
    <x v="0"/>
    <n v="0.22073869079634589"/>
  </r>
  <r>
    <s v="ORD0247"/>
    <x v="184"/>
    <x v="2"/>
    <s v="Priya"/>
    <x v="2"/>
    <s v="Keyboard"/>
    <n v="3"/>
    <n v="1459.25"/>
    <n v="4377.75"/>
    <n v="2916.61"/>
    <n v="1461.14"/>
    <x v="2"/>
    <n v="0.3337650619610531"/>
  </r>
  <r>
    <s v="ORD0248"/>
    <x v="10"/>
    <x v="0"/>
    <s v="Rohan"/>
    <x v="2"/>
    <s v="Mouse"/>
    <n v="5"/>
    <n v="724.63"/>
    <n v="3623.15"/>
    <n v="2907.61"/>
    <n v="715.54"/>
    <x v="2"/>
    <n v="0.1974911334060141"/>
  </r>
  <r>
    <s v="ORD0249"/>
    <x v="133"/>
    <x v="3"/>
    <s v="Priya"/>
    <x v="2"/>
    <s v="Laptop"/>
    <n v="3"/>
    <n v="45401.79"/>
    <n v="136205.37"/>
    <n v="105189.63"/>
    <n v="31015.74"/>
    <x v="0"/>
    <n v="0.22771304831813902"/>
  </r>
  <r>
    <s v="ORD0250"/>
    <x v="185"/>
    <x v="0"/>
    <s v="Vikram"/>
    <x v="3"/>
    <s v="Headset"/>
    <n v="12"/>
    <n v="2225.12"/>
    <n v="26701.439999999999"/>
    <n v="22816.82"/>
    <n v="3884.62"/>
    <x v="0"/>
    <n v="0.14548353946453824"/>
  </r>
  <r>
    <s v="ORD0251"/>
    <x v="186"/>
    <x v="1"/>
    <s v="Vikram"/>
    <x v="0"/>
    <s v="Pen Pack"/>
    <n v="7"/>
    <n v="241.77"/>
    <n v="1692.39"/>
    <n v="1354.09"/>
    <n v="338.3"/>
    <x v="1"/>
    <n v="0.19989482329723054"/>
  </r>
  <r>
    <s v="ORD0252"/>
    <x v="78"/>
    <x v="2"/>
    <s v="Rahul"/>
    <x v="0"/>
    <s v="Notebook"/>
    <n v="5"/>
    <n v="125.8"/>
    <n v="629"/>
    <n v="481.43"/>
    <n v="147.57"/>
    <x v="1"/>
    <n v="0.23461049284578694"/>
  </r>
  <r>
    <s v="ORD0253"/>
    <x v="187"/>
    <x v="0"/>
    <s v="Aarav"/>
    <x v="3"/>
    <s v="Headset"/>
    <n v="18"/>
    <n v="2267.85"/>
    <n v="40821.300000000003"/>
    <n v="29400.19"/>
    <n v="11421.11"/>
    <x v="2"/>
    <n v="0.27978310342884721"/>
  </r>
  <r>
    <s v="ORD0254"/>
    <x v="188"/>
    <x v="2"/>
    <s v="Imran"/>
    <x v="3"/>
    <s v="Webcam"/>
    <n v="11"/>
    <n v="2989.46"/>
    <n v="32884.06"/>
    <n v="20694.7"/>
    <n v="12189.36"/>
    <x v="2"/>
    <n v="0.3706768568114765"/>
  </r>
  <r>
    <s v="ORD0255"/>
    <x v="11"/>
    <x v="1"/>
    <s v="Rohan"/>
    <x v="0"/>
    <s v="Notebook"/>
    <n v="20"/>
    <n v="133.37"/>
    <n v="2667.4"/>
    <n v="2249.34"/>
    <n v="418.06"/>
    <x v="2"/>
    <n v="0.15672939941516081"/>
  </r>
  <r>
    <s v="ORD0256"/>
    <x v="189"/>
    <x v="1"/>
    <s v="Rohan"/>
    <x v="1"/>
    <s v="Office Chair"/>
    <n v="14"/>
    <n v="6553.26"/>
    <n v="91745.64"/>
    <n v="69637"/>
    <n v="22108.639999999999"/>
    <x v="1"/>
    <n v="0.24097755490070155"/>
  </r>
  <r>
    <s v="ORD0257"/>
    <x v="54"/>
    <x v="0"/>
    <s v="Meera"/>
    <x v="0"/>
    <s v="Pen Pack"/>
    <n v="18"/>
    <n v="261.63"/>
    <n v="4709.34"/>
    <n v="3306.31"/>
    <n v="1403.03"/>
    <x v="2"/>
    <n v="0.29792497462489437"/>
  </r>
  <r>
    <s v="ORD0258"/>
    <x v="190"/>
    <x v="1"/>
    <s v="Rohan"/>
    <x v="1"/>
    <s v="Office Chair"/>
    <n v="20"/>
    <n v="6568.85"/>
    <n v="131377"/>
    <n v="105477.92"/>
    <n v="25899.08"/>
    <x v="1"/>
    <n v="0.19713557167540743"/>
  </r>
  <r>
    <s v="ORD0259"/>
    <x v="191"/>
    <x v="1"/>
    <s v="Meera"/>
    <x v="3"/>
    <s v="Headset"/>
    <n v="10"/>
    <n v="2449.52"/>
    <n v="24495.200000000001"/>
    <n v="17595.72"/>
    <n v="6899.48"/>
    <x v="1"/>
    <n v="0.28166661223423362"/>
  </r>
  <r>
    <s v="ORD0260"/>
    <x v="192"/>
    <x v="0"/>
    <s v="Rohan"/>
    <x v="0"/>
    <s v="Pen Pack"/>
    <n v="8"/>
    <n v="245.15"/>
    <n v="1961.2"/>
    <n v="1489.87"/>
    <n v="471.33"/>
    <x v="0"/>
    <n v="0.24032735060167243"/>
  </r>
  <r>
    <s v="ORD0261"/>
    <x v="116"/>
    <x v="0"/>
    <s v="Imran"/>
    <x v="2"/>
    <s v="Keyboard"/>
    <n v="14"/>
    <n v="1490.87"/>
    <n v="20872.18"/>
    <n v="13704.86"/>
    <n v="7167.32"/>
    <x v="1"/>
    <n v="0.34339105929519581"/>
  </r>
  <r>
    <s v="ORD0262"/>
    <x v="124"/>
    <x v="0"/>
    <s v="Meera"/>
    <x v="0"/>
    <s v="Pen Pack"/>
    <n v="13"/>
    <n v="262.70999999999998"/>
    <n v="3415.23"/>
    <n v="2353.79"/>
    <n v="1061.44"/>
    <x v="0"/>
    <n v="0.31079605180324604"/>
  </r>
  <r>
    <s v="ORD0263"/>
    <x v="183"/>
    <x v="0"/>
    <s v="Rahul"/>
    <x v="2"/>
    <s v="Mouse"/>
    <n v="6"/>
    <n v="693.8"/>
    <n v="4162.8"/>
    <n v="3339.84"/>
    <n v="822.96"/>
    <x v="0"/>
    <n v="0.19769385990198904"/>
  </r>
  <r>
    <s v="ORD0264"/>
    <x v="193"/>
    <x v="1"/>
    <s v="Rohan"/>
    <x v="2"/>
    <s v="Monitor"/>
    <n v="20"/>
    <n v="12715.66"/>
    <n v="254313.2"/>
    <n v="186250.09"/>
    <n v="68063.11"/>
    <x v="1"/>
    <n v="0.26763498709465333"/>
  </r>
  <r>
    <s v="ORD0265"/>
    <x v="42"/>
    <x v="0"/>
    <s v="Rohan"/>
    <x v="3"/>
    <s v="Webcam"/>
    <n v="16"/>
    <n v="3075.36"/>
    <n v="49205.760000000002"/>
    <n v="42158.53"/>
    <n v="7047.23"/>
    <x v="1"/>
    <n v="0.1432196149393892"/>
  </r>
  <r>
    <s v="ORD0266"/>
    <x v="190"/>
    <x v="1"/>
    <s v="Rohan"/>
    <x v="2"/>
    <s v="Mouse"/>
    <n v="3"/>
    <n v="647"/>
    <n v="1941"/>
    <n v="1532.01"/>
    <n v="408.99"/>
    <x v="1"/>
    <n v="0.21071097372488409"/>
  </r>
  <r>
    <s v="ORD0267"/>
    <x v="37"/>
    <x v="1"/>
    <s v="Kavya"/>
    <x v="3"/>
    <s v="Webcam"/>
    <n v="15"/>
    <n v="3130.58"/>
    <n v="46958.7"/>
    <n v="32009.919999999998"/>
    <n v="14948.78"/>
    <x v="0"/>
    <n v="0.31833888076117955"/>
  </r>
  <r>
    <s v="ORD0268"/>
    <x v="194"/>
    <x v="0"/>
    <s v="Vikram"/>
    <x v="3"/>
    <s v="Webcam"/>
    <n v="19"/>
    <n v="3503.1"/>
    <n v="66558.899999999994"/>
    <n v="44964.1"/>
    <n v="21594.799999999999"/>
    <x v="1"/>
    <n v="0.32444646771506142"/>
  </r>
  <r>
    <s v="ORD0269"/>
    <x v="32"/>
    <x v="3"/>
    <s v="Vikram"/>
    <x v="2"/>
    <s v="Laptop"/>
    <n v="7"/>
    <n v="47528.54"/>
    <n v="332699.78000000003"/>
    <n v="283440.40999999997"/>
    <n v="49259.37"/>
    <x v="1"/>
    <n v="0.14805952080882048"/>
  </r>
  <r>
    <s v="ORD0270"/>
    <x v="195"/>
    <x v="0"/>
    <s v="Rahul"/>
    <x v="2"/>
    <s v="Mouse"/>
    <n v="17"/>
    <n v="647.14"/>
    <n v="11001.38"/>
    <n v="7271.51"/>
    <n v="3729.87"/>
    <x v="0"/>
    <n v="0.3390365572319109"/>
  </r>
  <r>
    <s v="ORD0271"/>
    <x v="165"/>
    <x v="0"/>
    <s v="Aarav"/>
    <x v="1"/>
    <s v="Bookshelf"/>
    <n v="1"/>
    <n v="7905.76"/>
    <n v="7905.76"/>
    <n v="6189.63"/>
    <n v="1716.13"/>
    <x v="2"/>
    <n v="0.21707337434984114"/>
  </r>
  <r>
    <s v="ORD0272"/>
    <x v="196"/>
    <x v="0"/>
    <s v="Priya"/>
    <x v="2"/>
    <s v="Laptop"/>
    <n v="6"/>
    <n v="47707.58"/>
    <n v="286245.48"/>
    <n v="238627.8"/>
    <n v="47617.68"/>
    <x v="0"/>
    <n v="0.16635260057206844"/>
  </r>
  <r>
    <s v="ORD0273"/>
    <x v="23"/>
    <x v="3"/>
    <s v="Vikram"/>
    <x v="0"/>
    <s v="Notebook"/>
    <n v="1"/>
    <n v="117.11"/>
    <n v="117.11"/>
    <n v="89.72"/>
    <n v="27.39"/>
    <x v="0"/>
    <n v="0.23388267440867561"/>
  </r>
  <r>
    <s v="ORD0274"/>
    <x v="197"/>
    <x v="2"/>
    <s v="Vikram"/>
    <x v="1"/>
    <s v="Desk"/>
    <n v="8"/>
    <n v="10768.69"/>
    <n v="86149.52"/>
    <n v="72504.160000000003"/>
    <n v="13645.36"/>
    <x v="2"/>
    <n v="0.15839159637801811"/>
  </r>
  <r>
    <s v="ORD0275"/>
    <x v="103"/>
    <x v="2"/>
    <s v="Neha"/>
    <x v="1"/>
    <s v="Bookshelf"/>
    <n v="12"/>
    <n v="7568.94"/>
    <n v="90827.28"/>
    <n v="75291.360000000001"/>
    <n v="15535.92"/>
    <x v="2"/>
    <n v="0.1710490504614913"/>
  </r>
  <r>
    <s v="ORD0276"/>
    <x v="168"/>
    <x v="3"/>
    <s v="Ananya"/>
    <x v="3"/>
    <s v="Webcam"/>
    <n v="5"/>
    <n v="3544.47"/>
    <n v="17722.349999999999"/>
    <n v="11429.39"/>
    <n v="6292.96"/>
    <x v="0"/>
    <n v="0.35508609185576406"/>
  </r>
  <r>
    <s v="ORD0277"/>
    <x v="162"/>
    <x v="3"/>
    <s v="Aarav"/>
    <x v="3"/>
    <s v="Webcam"/>
    <n v="2"/>
    <n v="2915.32"/>
    <n v="5830.64"/>
    <n v="3816.9"/>
    <n v="2013.74"/>
    <x v="0"/>
    <n v="0.3453720346308467"/>
  </r>
  <r>
    <s v="ORD0278"/>
    <x v="198"/>
    <x v="3"/>
    <s v="Aarav"/>
    <x v="2"/>
    <s v="Keyboard"/>
    <n v="6"/>
    <n v="1458.26"/>
    <n v="8749.56"/>
    <n v="5504.88"/>
    <n v="3244.68"/>
    <x v="1"/>
    <n v="0.37083921934360126"/>
  </r>
  <r>
    <s v="ORD0279"/>
    <x v="199"/>
    <x v="0"/>
    <s v="Meera"/>
    <x v="0"/>
    <s v="Pen Pack"/>
    <n v="11"/>
    <n v="267.29000000000002"/>
    <n v="2940.19"/>
    <n v="2031.38"/>
    <n v="908.81"/>
    <x v="0"/>
    <n v="0.30909907182869134"/>
  </r>
  <r>
    <s v="ORD0280"/>
    <x v="200"/>
    <x v="3"/>
    <s v="Neha"/>
    <x v="1"/>
    <s v="Desk"/>
    <n v="19"/>
    <n v="10943.61"/>
    <n v="207928.59"/>
    <n v="140874.59"/>
    <n v="67054"/>
    <x v="2"/>
    <n v="0.32248571492741812"/>
  </r>
  <r>
    <s v="ORD0281"/>
    <x v="13"/>
    <x v="3"/>
    <s v="Rahul"/>
    <x v="2"/>
    <s v="Monitor"/>
    <n v="5"/>
    <n v="12068.04"/>
    <n v="60340.2"/>
    <n v="48604.57"/>
    <n v="11735.63"/>
    <x v="1"/>
    <n v="0.19449106897226062"/>
  </r>
  <r>
    <s v="ORD0282"/>
    <x v="132"/>
    <x v="2"/>
    <s v="Rohan"/>
    <x v="1"/>
    <s v="Desk"/>
    <n v="9"/>
    <n v="11698.14"/>
    <n v="105283.26"/>
    <n v="76388.789999999994"/>
    <n v="28894.47"/>
    <x v="0"/>
    <n v="0.27444505422799409"/>
  </r>
  <r>
    <s v="ORD0283"/>
    <x v="127"/>
    <x v="0"/>
    <s v="Priya"/>
    <x v="0"/>
    <s v="Pen Pack"/>
    <n v="12"/>
    <n v="271.89999999999998"/>
    <n v="3262.8"/>
    <n v="2628.75"/>
    <n v="634.04999999999995"/>
    <x v="2"/>
    <n v="0.19432695844060313"/>
  </r>
  <r>
    <s v="ORD0284"/>
    <x v="28"/>
    <x v="3"/>
    <s v="Meera"/>
    <x v="1"/>
    <s v="Office Chair"/>
    <n v="3"/>
    <n v="6134.08"/>
    <n v="18402.240000000002"/>
    <n v="14098.59"/>
    <n v="4303.6499999999996"/>
    <x v="0"/>
    <n v="0.2338655511502947"/>
  </r>
  <r>
    <s v="ORD0285"/>
    <x v="64"/>
    <x v="3"/>
    <s v="Ananya"/>
    <x v="0"/>
    <s v="Printer Paper"/>
    <n v="16"/>
    <n v="337.03"/>
    <n v="5392.48"/>
    <n v="3348.32"/>
    <n v="2044.16"/>
    <x v="0"/>
    <n v="0.37907604664273215"/>
  </r>
  <r>
    <s v="ORD0286"/>
    <x v="117"/>
    <x v="2"/>
    <s v="Vikram"/>
    <x v="0"/>
    <s v="Pen Pack"/>
    <n v="16"/>
    <n v="272.07"/>
    <n v="4353.12"/>
    <n v="2720.88"/>
    <n v="1632.24"/>
    <x v="2"/>
    <n v="0.37495865034733711"/>
  </r>
  <r>
    <s v="ORD0287"/>
    <x v="84"/>
    <x v="0"/>
    <s v="Vikram"/>
    <x v="0"/>
    <s v="Printer Paper"/>
    <n v="9"/>
    <n v="361.46"/>
    <n v="3253.14"/>
    <n v="2449.36"/>
    <n v="803.78"/>
    <x v="2"/>
    <n v="0.24707820751643028"/>
  </r>
  <r>
    <s v="ORD0288"/>
    <x v="58"/>
    <x v="0"/>
    <s v="Priya"/>
    <x v="1"/>
    <s v="Desk"/>
    <n v="1"/>
    <n v="9911.74"/>
    <n v="9911.74"/>
    <n v="7943.85"/>
    <n v="1967.89"/>
    <x v="0"/>
    <n v="0.19854132574098998"/>
  </r>
  <r>
    <s v="ORD0289"/>
    <x v="46"/>
    <x v="0"/>
    <s v="Kavya"/>
    <x v="0"/>
    <s v="Printer Paper"/>
    <n v="5"/>
    <n v="384.27"/>
    <n v="1921.35"/>
    <n v="1569.76"/>
    <n v="351.59"/>
    <x v="0"/>
    <n v="0.18299112603117598"/>
  </r>
  <r>
    <s v="ORD0290"/>
    <x v="201"/>
    <x v="2"/>
    <s v="Rohan"/>
    <x v="1"/>
    <s v="Bookshelf"/>
    <n v="15"/>
    <n v="8257.65"/>
    <n v="123864.75"/>
    <n v="81079.69"/>
    <n v="42785.06"/>
    <x v="0"/>
    <n v="0.34541756230081599"/>
  </r>
  <r>
    <s v="ORD0291"/>
    <x v="183"/>
    <x v="2"/>
    <s v="Ananya"/>
    <x v="1"/>
    <s v="Bookshelf"/>
    <n v="8"/>
    <n v="7973.76"/>
    <n v="63790.080000000002"/>
    <n v="47457.01"/>
    <n v="16333.07"/>
    <x v="0"/>
    <n v="0.25604404321173446"/>
  </r>
  <r>
    <s v="ORD0292"/>
    <x v="133"/>
    <x v="1"/>
    <s v="Neha"/>
    <x v="3"/>
    <s v="Headset"/>
    <n v="18"/>
    <n v="2124.14"/>
    <n v="38234.519999999997"/>
    <n v="31606.05"/>
    <n v="6628.47"/>
    <x v="1"/>
    <n v="0.17336349455936678"/>
  </r>
  <r>
    <s v="ORD0293"/>
    <x v="83"/>
    <x v="3"/>
    <s v="Aarav"/>
    <x v="3"/>
    <s v="Headset"/>
    <n v="6"/>
    <n v="2221.65"/>
    <n v="13329.9"/>
    <n v="10862.77"/>
    <n v="2467.13"/>
    <x v="0"/>
    <n v="0.18508240872024548"/>
  </r>
  <r>
    <s v="ORD0294"/>
    <x v="41"/>
    <x v="0"/>
    <s v="Imran"/>
    <x v="3"/>
    <s v="USB Drive"/>
    <n v="10"/>
    <n v="636.69000000000005"/>
    <n v="6366.9"/>
    <n v="4570.8900000000003"/>
    <n v="1796.01"/>
    <x v="1"/>
    <n v="0.28208547330726103"/>
  </r>
  <r>
    <s v="ORD0295"/>
    <x v="202"/>
    <x v="1"/>
    <s v="Kavya"/>
    <x v="1"/>
    <s v="Desk"/>
    <n v="13"/>
    <n v="10314.620000000001"/>
    <n v="134090.06"/>
    <n v="108545.23"/>
    <n v="25544.83"/>
    <x v="2"/>
    <n v="0.19050502326570667"/>
  </r>
  <r>
    <s v="ORD0296"/>
    <x v="203"/>
    <x v="1"/>
    <s v="Kavya"/>
    <x v="2"/>
    <s v="Mouse"/>
    <n v="15"/>
    <n v="718.39"/>
    <n v="10775.85"/>
    <n v="7827.64"/>
    <n v="2948.21"/>
    <x v="0"/>
    <n v="0.27359419442549776"/>
  </r>
  <r>
    <s v="ORD0297"/>
    <x v="204"/>
    <x v="2"/>
    <s v="Vikram"/>
    <x v="1"/>
    <s v="Bookshelf"/>
    <n v="13"/>
    <n v="8349.7900000000009"/>
    <n v="108547.27"/>
    <n v="69232.52"/>
    <n v="39314.75"/>
    <x v="2"/>
    <n v="0.36219013154361229"/>
  </r>
  <r>
    <s v="ORD0298"/>
    <x v="205"/>
    <x v="0"/>
    <s v="Aarav"/>
    <x v="2"/>
    <s v="Keyboard"/>
    <n v="7"/>
    <n v="1350.5"/>
    <n v="9453.5"/>
    <n v="7818.63"/>
    <n v="1634.87"/>
    <x v="0"/>
    <n v="0.17293806526683239"/>
  </r>
  <r>
    <s v="ORD0299"/>
    <x v="206"/>
    <x v="2"/>
    <s v="Kavya"/>
    <x v="0"/>
    <s v="Printer Paper"/>
    <n v="5"/>
    <n v="376.46"/>
    <n v="1882.3"/>
    <n v="1399.72"/>
    <n v="482.58"/>
    <x v="0"/>
    <n v="0.25637783562662697"/>
  </r>
  <r>
    <s v="ORD0300"/>
    <x v="207"/>
    <x v="3"/>
    <s v="Rahul"/>
    <x v="0"/>
    <s v="Printer Paper"/>
    <n v="20"/>
    <n v="388.29"/>
    <n v="7765.8"/>
    <n v="5215.3599999999997"/>
    <n v="2550.44"/>
    <x v="0"/>
    <n v="0.32841948028535373"/>
  </r>
  <r>
    <s v="ORD0301"/>
    <x v="208"/>
    <x v="1"/>
    <s v="Neha"/>
    <x v="0"/>
    <s v="Notebook"/>
    <n v="7"/>
    <n v="110.38"/>
    <n v="772.66"/>
    <n v="534.59"/>
    <n v="238.07"/>
    <x v="2"/>
    <n v="0.30811741257474179"/>
  </r>
  <r>
    <s v="ORD0302"/>
    <x v="128"/>
    <x v="0"/>
    <s v="Aarav"/>
    <x v="1"/>
    <s v="Bookshelf"/>
    <n v="13"/>
    <n v="8812.4599999999991"/>
    <n v="114561.98"/>
    <n v="73049.47"/>
    <n v="41512.51"/>
    <x v="0"/>
    <n v="0.36235852418053532"/>
  </r>
  <r>
    <s v="ORD0303"/>
    <x v="209"/>
    <x v="0"/>
    <s v="Rohan"/>
    <x v="0"/>
    <s v="Notebook"/>
    <n v="6"/>
    <n v="116.14"/>
    <n v="696.84"/>
    <n v="522.80999999999995"/>
    <n v="174.03"/>
    <x v="2"/>
    <n v="0.24974169106251076"/>
  </r>
  <r>
    <s v="ORD0304"/>
    <x v="210"/>
    <x v="3"/>
    <s v="Priya"/>
    <x v="2"/>
    <s v="Laptop"/>
    <n v="9"/>
    <n v="42050.91"/>
    <n v="378458.19"/>
    <n v="265027.28999999998"/>
    <n v="113430.9"/>
    <x v="2"/>
    <n v="0.29971844446013968"/>
  </r>
  <r>
    <s v="ORD0305"/>
    <x v="211"/>
    <x v="3"/>
    <s v="Neha"/>
    <x v="0"/>
    <s v="Printer Paper"/>
    <n v="17"/>
    <n v="372.7"/>
    <n v="6335.9"/>
    <n v="4534.2299999999996"/>
    <n v="1801.67"/>
    <x v="2"/>
    <n v="0.28435897031203144"/>
  </r>
  <r>
    <s v="ORD0306"/>
    <x v="47"/>
    <x v="0"/>
    <s v="Ananya"/>
    <x v="2"/>
    <s v="Keyboard"/>
    <n v="19"/>
    <n v="1620.11"/>
    <n v="30782.09"/>
    <n v="23649.94"/>
    <n v="7132.15"/>
    <x v="0"/>
    <n v="0.23169804259554824"/>
  </r>
  <r>
    <s v="ORD0307"/>
    <x v="176"/>
    <x v="1"/>
    <s v="Aarav"/>
    <x v="1"/>
    <s v="Bookshelf"/>
    <n v="4"/>
    <n v="8953.76"/>
    <n v="35815.040000000001"/>
    <n v="27168.240000000002"/>
    <n v="8646.7999999999993"/>
    <x v="2"/>
    <n v="0.2414292989760726"/>
  </r>
  <r>
    <s v="ORD0308"/>
    <x v="48"/>
    <x v="2"/>
    <s v="Imran"/>
    <x v="0"/>
    <s v="Printer Paper"/>
    <n v="10"/>
    <n v="368.87"/>
    <n v="3688.7"/>
    <n v="2825.62"/>
    <n v="863.08"/>
    <x v="0"/>
    <n v="0.23397945075500856"/>
  </r>
  <r>
    <s v="ORD0309"/>
    <x v="174"/>
    <x v="2"/>
    <s v="Kavya"/>
    <x v="0"/>
    <s v="Notebook"/>
    <n v="4"/>
    <n v="111"/>
    <n v="444"/>
    <n v="290.22000000000003"/>
    <n v="153.78"/>
    <x v="1"/>
    <n v="0.34635135135135137"/>
  </r>
  <r>
    <s v="ORD0310"/>
    <x v="212"/>
    <x v="2"/>
    <s v="Meera"/>
    <x v="1"/>
    <s v="Bookshelf"/>
    <n v="10"/>
    <n v="8580.7900000000009"/>
    <n v="85807.9"/>
    <n v="54641.29"/>
    <n v="31166.61"/>
    <x v="1"/>
    <n v="0.36321376003841144"/>
  </r>
  <r>
    <s v="ORD0311"/>
    <x v="63"/>
    <x v="1"/>
    <s v="Neha"/>
    <x v="1"/>
    <s v="Desk"/>
    <n v="20"/>
    <n v="9974.2199999999993"/>
    <n v="199484.4"/>
    <n v="154325.66"/>
    <n v="45158.74"/>
    <x v="0"/>
    <n v="0.22637730068115602"/>
  </r>
  <r>
    <s v="ORD0312"/>
    <x v="72"/>
    <x v="0"/>
    <s v="Vikram"/>
    <x v="0"/>
    <s v="Printer Paper"/>
    <n v="7"/>
    <n v="362.62"/>
    <n v="2538.34"/>
    <n v="1695.35"/>
    <n v="842.99"/>
    <x v="0"/>
    <n v="0.33210287037985453"/>
  </r>
  <r>
    <s v="ORD0313"/>
    <x v="169"/>
    <x v="1"/>
    <s v="Rohan"/>
    <x v="3"/>
    <s v="Headset"/>
    <n v="6"/>
    <n v="2120.2399999999998"/>
    <n v="12721.44"/>
    <n v="10222.9"/>
    <n v="2498.54"/>
    <x v="0"/>
    <n v="0.19640386622898034"/>
  </r>
  <r>
    <s v="ORD0314"/>
    <x v="213"/>
    <x v="0"/>
    <s v="Ananya"/>
    <x v="2"/>
    <s v="Mouse"/>
    <n v="2"/>
    <n v="732.74"/>
    <n v="1465.48"/>
    <n v="1220"/>
    <n v="245.48"/>
    <x v="2"/>
    <n v="0.16750825668040503"/>
  </r>
  <r>
    <s v="ORD0315"/>
    <x v="53"/>
    <x v="2"/>
    <s v="Kavya"/>
    <x v="1"/>
    <s v="Desk"/>
    <n v="13"/>
    <n v="11213.14"/>
    <n v="145770.82"/>
    <n v="100475.44"/>
    <n v="45295.38"/>
    <x v="2"/>
    <n v="0.3107300898766982"/>
  </r>
  <r>
    <s v="ORD0316"/>
    <x v="39"/>
    <x v="1"/>
    <s v="Imran"/>
    <x v="2"/>
    <s v="Keyboard"/>
    <n v="10"/>
    <n v="1429.11"/>
    <n v="14291.1"/>
    <n v="9676.77"/>
    <n v="4614.33"/>
    <x v="1"/>
    <n v="0.32288137372210673"/>
  </r>
  <r>
    <s v="ORD0317"/>
    <x v="159"/>
    <x v="0"/>
    <s v="Meera"/>
    <x v="0"/>
    <s v="Printer Paper"/>
    <n v="16"/>
    <n v="337.27"/>
    <n v="5396.32"/>
    <n v="4376.37"/>
    <n v="1019.95"/>
    <x v="2"/>
    <n v="0.18900843537818368"/>
  </r>
  <r>
    <s v="ORD0318"/>
    <x v="214"/>
    <x v="2"/>
    <s v="Ananya"/>
    <x v="1"/>
    <s v="Bookshelf"/>
    <n v="6"/>
    <n v="8192.8700000000008"/>
    <n v="49157.22"/>
    <n v="41846.43"/>
    <n v="7310.79"/>
    <x v="2"/>
    <n v="0.14872260880497309"/>
  </r>
  <r>
    <s v="ORD0319"/>
    <x v="198"/>
    <x v="2"/>
    <s v="Rohan"/>
    <x v="0"/>
    <s v="Printer Paper"/>
    <n v="16"/>
    <n v="370.18"/>
    <n v="5922.88"/>
    <n v="4061.61"/>
    <n v="1861.27"/>
    <x v="0"/>
    <n v="0.31425083743043924"/>
  </r>
  <r>
    <s v="ORD0320"/>
    <x v="215"/>
    <x v="2"/>
    <s v="Neha"/>
    <x v="1"/>
    <s v="Bookshelf"/>
    <n v="3"/>
    <n v="8693.14"/>
    <n v="26079.42"/>
    <n v="21043.35"/>
    <n v="5036.07"/>
    <x v="2"/>
    <n v="0.1931051380743897"/>
  </r>
  <r>
    <s v="ORD0321"/>
    <x v="50"/>
    <x v="1"/>
    <s v="Neha"/>
    <x v="3"/>
    <s v="Headset"/>
    <n v="17"/>
    <n v="2119.5500000000002"/>
    <n v="36032.35"/>
    <n v="26329.07"/>
    <n v="9703.2800000000007"/>
    <x v="0"/>
    <n v="0.26929356536556737"/>
  </r>
  <r>
    <s v="ORD0322"/>
    <x v="106"/>
    <x v="1"/>
    <s v="Rohan"/>
    <x v="2"/>
    <s v="Keyboard"/>
    <n v="10"/>
    <n v="1354.7"/>
    <n v="13547"/>
    <n v="8981.7199999999993"/>
    <n v="4565.28"/>
    <x v="1"/>
    <n v="0.3369956447922049"/>
  </r>
  <r>
    <s v="ORD0323"/>
    <x v="79"/>
    <x v="1"/>
    <s v="Imran"/>
    <x v="1"/>
    <s v="Office Chair"/>
    <n v="5"/>
    <n v="6294.9"/>
    <n v="31474.5"/>
    <n v="20169.36"/>
    <n v="11305.14"/>
    <x v="0"/>
    <n v="0.3591841014154315"/>
  </r>
  <r>
    <s v="ORD0324"/>
    <x v="216"/>
    <x v="1"/>
    <s v="Kavya"/>
    <x v="3"/>
    <s v="USB Drive"/>
    <n v="14"/>
    <n v="614.02"/>
    <n v="8596.2800000000007"/>
    <n v="7240.92"/>
    <n v="1355.36"/>
    <x v="1"/>
    <n v="0.15766820066354281"/>
  </r>
  <r>
    <s v="ORD0325"/>
    <x v="135"/>
    <x v="1"/>
    <s v="Aarav"/>
    <x v="0"/>
    <s v="Printer Paper"/>
    <n v="14"/>
    <n v="377.45"/>
    <n v="5284.3"/>
    <n v="4286.13"/>
    <n v="998.17"/>
    <x v="0"/>
    <n v="0.18889351475124425"/>
  </r>
  <r>
    <s v="ORD0326"/>
    <x v="205"/>
    <x v="1"/>
    <s v="Aarav"/>
    <x v="3"/>
    <s v="Headset"/>
    <n v="19"/>
    <n v="2240.92"/>
    <n v="42577.48"/>
    <n v="28906.18"/>
    <n v="13671.3"/>
    <x v="2"/>
    <n v="0.32109227695016235"/>
  </r>
  <r>
    <s v="ORD0327"/>
    <x v="200"/>
    <x v="1"/>
    <s v="Neha"/>
    <x v="0"/>
    <s v="Printer Paper"/>
    <n v="4"/>
    <n v="354.82"/>
    <n v="1419.28"/>
    <n v="1089.6099999999999"/>
    <n v="329.67"/>
    <x v="0"/>
    <n v="0.23227974747759428"/>
  </r>
  <r>
    <s v="ORD0328"/>
    <x v="111"/>
    <x v="3"/>
    <s v="Meera"/>
    <x v="2"/>
    <s v="Mouse"/>
    <n v="12"/>
    <n v="766.96"/>
    <n v="9203.52"/>
    <n v="7711.68"/>
    <n v="1491.84"/>
    <x v="1"/>
    <n v="0.16209450297277561"/>
  </r>
  <r>
    <s v="ORD0329"/>
    <x v="138"/>
    <x v="2"/>
    <s v="Ananya"/>
    <x v="1"/>
    <s v="Desk"/>
    <n v="19"/>
    <n v="10167.35"/>
    <n v="193179.65"/>
    <n v="162265.99"/>
    <n v="30913.66"/>
    <x v="0"/>
    <n v="0.16002544781502606"/>
  </r>
  <r>
    <s v="ORD0330"/>
    <x v="93"/>
    <x v="0"/>
    <s v="Rahul"/>
    <x v="2"/>
    <s v="Mouse"/>
    <n v="13"/>
    <n v="680.2"/>
    <n v="8842.6"/>
    <n v="7377.4"/>
    <n v="1465.2"/>
    <x v="2"/>
    <n v="0.16569787166670435"/>
  </r>
  <r>
    <s v="ORD0331"/>
    <x v="178"/>
    <x v="1"/>
    <s v="Rohan"/>
    <x v="3"/>
    <s v="Headset"/>
    <n v="4"/>
    <n v="2107.86"/>
    <n v="8431.44"/>
    <n v="5895.75"/>
    <n v="2535.69"/>
    <x v="1"/>
    <n v="0.30074222196920097"/>
  </r>
  <r>
    <s v="ORD0332"/>
    <x v="217"/>
    <x v="1"/>
    <s v="Vikram"/>
    <x v="2"/>
    <s v="Mouse"/>
    <n v="19"/>
    <n v="782.09"/>
    <n v="14859.71"/>
    <n v="12021.6"/>
    <n v="2838.11"/>
    <x v="2"/>
    <n v="0.1909936331193543"/>
  </r>
  <r>
    <s v="ORD0333"/>
    <x v="218"/>
    <x v="1"/>
    <s v="Imran"/>
    <x v="3"/>
    <s v="USB Drive"/>
    <n v="7"/>
    <n v="571.98"/>
    <n v="4003.86"/>
    <n v="2499.2800000000002"/>
    <n v="1504.58"/>
    <x v="0"/>
    <n v="0.37578237001293746"/>
  </r>
  <r>
    <s v="ORD0334"/>
    <x v="203"/>
    <x v="2"/>
    <s v="Rohan"/>
    <x v="1"/>
    <s v="Bookshelf"/>
    <n v="18"/>
    <n v="7591.87"/>
    <n v="136653.66"/>
    <n v="98223.46"/>
    <n v="38430.199999999997"/>
    <x v="0"/>
    <n v="0.28122334959780804"/>
  </r>
  <r>
    <s v="ORD0335"/>
    <x v="219"/>
    <x v="3"/>
    <s v="Imran"/>
    <x v="2"/>
    <s v="Mouse"/>
    <n v="18"/>
    <n v="718.56"/>
    <n v="12934.08"/>
    <n v="9708.15"/>
    <n v="3225.93"/>
    <x v="2"/>
    <n v="0.24941317820826839"/>
  </r>
  <r>
    <s v="ORD0336"/>
    <x v="220"/>
    <x v="3"/>
    <s v="Kavya"/>
    <x v="0"/>
    <s v="Notebook"/>
    <n v="12"/>
    <n v="129.91"/>
    <n v="1558.92"/>
    <n v="1010.16"/>
    <n v="548.76"/>
    <x v="2"/>
    <n v="0.35201293202986683"/>
  </r>
  <r>
    <s v="ORD0337"/>
    <x v="167"/>
    <x v="0"/>
    <s v="Kavya"/>
    <x v="2"/>
    <s v="Mouse"/>
    <n v="6"/>
    <n v="630.27"/>
    <n v="3781.62"/>
    <n v="2754.96"/>
    <n v="1026.6600000000001"/>
    <x v="2"/>
    <n v="0.27148682310755712"/>
  </r>
  <r>
    <s v="ORD0338"/>
    <x v="221"/>
    <x v="2"/>
    <s v="Rohan"/>
    <x v="3"/>
    <s v="Webcam"/>
    <n v="11"/>
    <n v="3171.97"/>
    <n v="34891.67"/>
    <n v="29133.27"/>
    <n v="5758.4"/>
    <x v="2"/>
    <n v="0.16503652591005247"/>
  </r>
  <r>
    <s v="ORD0339"/>
    <x v="222"/>
    <x v="3"/>
    <s v="Ananya"/>
    <x v="1"/>
    <s v="Office Chair"/>
    <n v="18"/>
    <n v="6834.84"/>
    <n v="123027.12"/>
    <n v="82455.55"/>
    <n v="40571.57"/>
    <x v="0"/>
    <n v="0.32977745069542391"/>
  </r>
  <r>
    <s v="ORD0340"/>
    <x v="223"/>
    <x v="2"/>
    <s v="Kavya"/>
    <x v="3"/>
    <s v="Webcam"/>
    <n v="6"/>
    <n v="3183.21"/>
    <n v="19099.259999999998"/>
    <n v="12633.55"/>
    <n v="6465.71"/>
    <x v="2"/>
    <n v="0.33853196406562353"/>
  </r>
  <r>
    <s v="ORD0341"/>
    <x v="22"/>
    <x v="3"/>
    <s v="Ananya"/>
    <x v="3"/>
    <s v="Webcam"/>
    <n v="13"/>
    <n v="3072.93"/>
    <n v="39948.089999999997"/>
    <n v="30241.39"/>
    <n v="9706.7000000000007"/>
    <x v="2"/>
    <n v="0.24298283096888992"/>
  </r>
  <r>
    <s v="ORD0342"/>
    <x v="71"/>
    <x v="1"/>
    <s v="Ananya"/>
    <x v="0"/>
    <s v="Notebook"/>
    <n v="5"/>
    <n v="116.83"/>
    <n v="584.15"/>
    <n v="418.46"/>
    <n v="165.69"/>
    <x v="0"/>
    <n v="0.2836428999400839"/>
  </r>
  <r>
    <s v="ORD0343"/>
    <x v="98"/>
    <x v="0"/>
    <s v="Priya"/>
    <x v="2"/>
    <s v="Keyboard"/>
    <n v="1"/>
    <n v="1678.92"/>
    <n v="1678.92"/>
    <n v="1272.6500000000001"/>
    <n v="406.27"/>
    <x v="0"/>
    <n v="0.24198294141471896"/>
  </r>
  <r>
    <s v="ORD0344"/>
    <x v="224"/>
    <x v="1"/>
    <s v="Meera"/>
    <x v="2"/>
    <s v="Keyboard"/>
    <n v="18"/>
    <n v="1358.86"/>
    <n v="24459.48"/>
    <n v="19845.400000000001"/>
    <n v="4614.08"/>
    <x v="0"/>
    <n v="0.1886417863339695"/>
  </r>
  <r>
    <s v="ORD0345"/>
    <x v="55"/>
    <x v="0"/>
    <s v="Ananya"/>
    <x v="1"/>
    <s v="Office Chair"/>
    <n v="19"/>
    <n v="6957.46"/>
    <n v="132191.74"/>
    <n v="101217.04"/>
    <n v="30974.7"/>
    <x v="1"/>
    <n v="0.2343164557785532"/>
  </r>
  <r>
    <s v="ORD0346"/>
    <x v="225"/>
    <x v="3"/>
    <s v="Priya"/>
    <x v="2"/>
    <s v="Monitor"/>
    <n v="3"/>
    <n v="12640.37"/>
    <n v="37921.11"/>
    <n v="30816.51"/>
    <n v="7104.6"/>
    <x v="2"/>
    <n v="0.18735211073726482"/>
  </r>
  <r>
    <s v="ORD0347"/>
    <x v="60"/>
    <x v="0"/>
    <s v="Kavya"/>
    <x v="2"/>
    <s v="Mouse"/>
    <n v="6"/>
    <n v="770.77"/>
    <n v="4624.62"/>
    <n v="3924.27"/>
    <n v="700.35"/>
    <x v="2"/>
    <n v="0.15143946962128782"/>
  </r>
  <r>
    <s v="ORD0348"/>
    <x v="226"/>
    <x v="0"/>
    <s v="Vikram"/>
    <x v="3"/>
    <s v="Headset"/>
    <n v="2"/>
    <n v="2219.9699999999998"/>
    <n v="4439.9399999999996"/>
    <n v="2928.68"/>
    <n v="1511.26"/>
    <x v="2"/>
    <n v="0.34037847358297635"/>
  </r>
  <r>
    <s v="ORD0349"/>
    <x v="227"/>
    <x v="2"/>
    <s v="Meera"/>
    <x v="3"/>
    <s v="Headset"/>
    <n v="8"/>
    <n v="2286.23"/>
    <n v="18289.84"/>
    <n v="12141.84"/>
    <n v="6148"/>
    <x v="0"/>
    <n v="0.33614290775643746"/>
  </r>
  <r>
    <s v="ORD0350"/>
    <x v="105"/>
    <x v="3"/>
    <s v="Kavya"/>
    <x v="2"/>
    <s v="Mouse"/>
    <n v="14"/>
    <n v="651.22"/>
    <n v="9117.08"/>
    <n v="6553.86"/>
    <n v="2563.2199999999998"/>
    <x v="0"/>
    <n v="0.28114484023393455"/>
  </r>
  <r>
    <s v="ORD0351"/>
    <x v="228"/>
    <x v="3"/>
    <s v="Rohan"/>
    <x v="3"/>
    <s v="Headset"/>
    <n v="17"/>
    <n v="2220.4499999999998"/>
    <n v="37747.65"/>
    <n v="30508.400000000001"/>
    <n v="7239.25"/>
    <x v="1"/>
    <n v="0.19178015055241848"/>
  </r>
  <r>
    <s v="ORD0352"/>
    <x v="229"/>
    <x v="1"/>
    <s v="Meera"/>
    <x v="3"/>
    <s v="Headset"/>
    <n v="11"/>
    <n v="2342.98"/>
    <n v="25772.78"/>
    <n v="20670.8"/>
    <n v="5101.9799999999996"/>
    <x v="0"/>
    <n v="0.197960018282855"/>
  </r>
  <r>
    <s v="ORD0353"/>
    <x v="230"/>
    <x v="2"/>
    <s v="Rahul"/>
    <x v="0"/>
    <s v="Notebook"/>
    <n v="7"/>
    <n v="129.52000000000001"/>
    <n v="906.64"/>
    <n v="663.73"/>
    <n v="242.91"/>
    <x v="2"/>
    <n v="0.26792332127415514"/>
  </r>
  <r>
    <s v="ORD0354"/>
    <x v="143"/>
    <x v="3"/>
    <s v="Rahul"/>
    <x v="0"/>
    <s v="Notebook"/>
    <n v="7"/>
    <n v="124.94"/>
    <n v="874.58"/>
    <n v="687.41"/>
    <n v="187.17"/>
    <x v="1"/>
    <n v="0.21401129685105991"/>
  </r>
  <r>
    <s v="ORD0355"/>
    <x v="231"/>
    <x v="3"/>
    <s v="Meera"/>
    <x v="3"/>
    <s v="Headset"/>
    <n v="13"/>
    <n v="2426.44"/>
    <n v="31543.72"/>
    <n v="24011.51"/>
    <n v="7532.21"/>
    <x v="2"/>
    <n v="0.23878635747464153"/>
  </r>
  <r>
    <s v="ORD0356"/>
    <x v="232"/>
    <x v="3"/>
    <s v="Vikram"/>
    <x v="1"/>
    <s v="Office Chair"/>
    <n v="17"/>
    <n v="6399.65"/>
    <n v="108794.05"/>
    <n v="76737.740000000005"/>
    <n v="32056.31"/>
    <x v="0"/>
    <n v="0.29465131594972338"/>
  </r>
  <r>
    <s v="ORD0357"/>
    <x v="208"/>
    <x v="1"/>
    <s v="Meera"/>
    <x v="1"/>
    <s v="Desk"/>
    <n v="20"/>
    <n v="11781.93"/>
    <n v="235638.6"/>
    <n v="189064.29"/>
    <n v="46574.31"/>
    <x v="0"/>
    <n v="0.19765144590062916"/>
  </r>
  <r>
    <s v="ORD0358"/>
    <x v="233"/>
    <x v="1"/>
    <s v="Ananya"/>
    <x v="0"/>
    <s v="Pen Pack"/>
    <n v="2"/>
    <n v="279.20999999999998"/>
    <n v="558.41999999999996"/>
    <n v="453.93"/>
    <n v="104.49"/>
    <x v="1"/>
    <n v="0.18711722359514343"/>
  </r>
  <r>
    <s v="ORD0359"/>
    <x v="234"/>
    <x v="1"/>
    <s v="Meera"/>
    <x v="2"/>
    <s v="Monitor"/>
    <n v="19"/>
    <n v="11411.41"/>
    <n v="216816.79"/>
    <n v="146281.1"/>
    <n v="70535.69"/>
    <x v="0"/>
    <n v="0.32532392901859675"/>
  </r>
  <r>
    <s v="ORD0360"/>
    <x v="37"/>
    <x v="1"/>
    <s v="Kavya"/>
    <x v="2"/>
    <s v="Mouse"/>
    <n v="6"/>
    <n v="681.34"/>
    <n v="4088.04"/>
    <n v="2613.11"/>
    <n v="1474.93"/>
    <x v="1"/>
    <n v="0.36079147953542529"/>
  </r>
  <r>
    <s v="ORD0361"/>
    <x v="174"/>
    <x v="1"/>
    <s v="Kavya"/>
    <x v="0"/>
    <s v="Notebook"/>
    <n v="9"/>
    <n v="133.30000000000001"/>
    <n v="1199.7"/>
    <n v="992.97"/>
    <n v="206.73"/>
    <x v="0"/>
    <n v="0.17231807951987996"/>
  </r>
  <r>
    <s v="ORD0362"/>
    <x v="169"/>
    <x v="2"/>
    <s v="Rohan"/>
    <x v="0"/>
    <s v="Printer Paper"/>
    <n v="12"/>
    <n v="355.19"/>
    <n v="4262.28"/>
    <n v="3511.16"/>
    <n v="751.12"/>
    <x v="1"/>
    <n v="0.17622493125744906"/>
  </r>
  <r>
    <s v="ORD0363"/>
    <x v="180"/>
    <x v="3"/>
    <s v="Neha"/>
    <x v="1"/>
    <s v="Desk"/>
    <n v="4"/>
    <n v="10614.16"/>
    <n v="42456.639999999999"/>
    <n v="34438.370000000003"/>
    <n v="8018.27"/>
    <x v="0"/>
    <n v="0.18885785592077001"/>
  </r>
  <r>
    <s v="ORD0364"/>
    <x v="116"/>
    <x v="3"/>
    <s v="Rohan"/>
    <x v="3"/>
    <s v="Headset"/>
    <n v="10"/>
    <n v="2399.6799999999998"/>
    <n v="23996.799999999999"/>
    <n v="16699.39"/>
    <n v="7297.41"/>
    <x v="0"/>
    <n v="0.30409929657287638"/>
  </r>
  <r>
    <s v="ORD0365"/>
    <x v="107"/>
    <x v="3"/>
    <s v="Meera"/>
    <x v="2"/>
    <s v="Monitor"/>
    <n v="14"/>
    <n v="13321.13"/>
    <n v="186495.82"/>
    <n v="153357.82999999999"/>
    <n v="33137.99"/>
    <x v="0"/>
    <n v="0.17768757498157331"/>
  </r>
  <r>
    <s v="ORD0366"/>
    <x v="148"/>
    <x v="2"/>
    <s v="Ananya"/>
    <x v="3"/>
    <s v="Webcam"/>
    <n v="3"/>
    <n v="3004.81"/>
    <n v="9014.43"/>
    <n v="7649.96"/>
    <n v="1364.47"/>
    <x v="1"/>
    <n v="0.15136508908494492"/>
  </r>
  <r>
    <s v="ORD0367"/>
    <x v="78"/>
    <x v="3"/>
    <s v="Vikram"/>
    <x v="1"/>
    <s v="Office Chair"/>
    <n v="13"/>
    <n v="7258.65"/>
    <n v="94362.45"/>
    <n v="62222.559999999998"/>
    <n v="32139.89"/>
    <x v="2"/>
    <n v="0.34060041891663473"/>
  </r>
  <r>
    <s v="ORD0368"/>
    <x v="235"/>
    <x v="0"/>
    <s v="Neha"/>
    <x v="2"/>
    <s v="Keyboard"/>
    <n v="3"/>
    <n v="1380.27"/>
    <n v="4140.8100000000004"/>
    <n v="2704.4"/>
    <n v="1436.41"/>
    <x v="1"/>
    <n v="0.34689106720665763"/>
  </r>
  <r>
    <s v="ORD0369"/>
    <x v="236"/>
    <x v="0"/>
    <s v="Meera"/>
    <x v="2"/>
    <s v="Mouse"/>
    <n v="5"/>
    <n v="723.36"/>
    <n v="3616.8"/>
    <n v="2790.22"/>
    <n v="826.58"/>
    <x v="1"/>
    <n v="0.22853904003539041"/>
  </r>
  <r>
    <s v="ORD0370"/>
    <x v="149"/>
    <x v="0"/>
    <s v="Rohan"/>
    <x v="1"/>
    <s v="Desk"/>
    <n v="5"/>
    <n v="11800.41"/>
    <n v="59002.05"/>
    <n v="45980.800000000003"/>
    <n v="13021.25"/>
    <x v="0"/>
    <n v="0.22069148444842171"/>
  </r>
  <r>
    <s v="ORD0371"/>
    <x v="237"/>
    <x v="1"/>
    <s v="Rohan"/>
    <x v="0"/>
    <s v="Printer Paper"/>
    <n v="19"/>
    <n v="318.94"/>
    <n v="6059.86"/>
    <n v="4245.9399999999996"/>
    <n v="1813.92"/>
    <x v="2"/>
    <n v="0.29933364797206541"/>
  </r>
  <r>
    <s v="ORD0372"/>
    <x v="238"/>
    <x v="3"/>
    <s v="Imran"/>
    <x v="0"/>
    <s v="Notebook"/>
    <n v="13"/>
    <n v="112.47"/>
    <n v="1462.11"/>
    <n v="1214"/>
    <n v="248.11"/>
    <x v="2"/>
    <n v="0.16969311474512863"/>
  </r>
  <r>
    <s v="ORD0373"/>
    <x v="239"/>
    <x v="2"/>
    <s v="Neha"/>
    <x v="2"/>
    <s v="Keyboard"/>
    <n v="3"/>
    <n v="1656.59"/>
    <n v="4969.7700000000004"/>
    <n v="3258.11"/>
    <n v="1711.66"/>
    <x v="0"/>
    <n v="0.34441432903333552"/>
  </r>
  <r>
    <s v="ORD0374"/>
    <x v="108"/>
    <x v="3"/>
    <s v="Meera"/>
    <x v="2"/>
    <s v="Monitor"/>
    <n v="9"/>
    <n v="12041.28"/>
    <n v="108371.52"/>
    <n v="68454.429999999993"/>
    <n v="39917.089999999997"/>
    <x v="1"/>
    <n v="0.36833561068443071"/>
  </r>
  <r>
    <s v="ORD0375"/>
    <x v="13"/>
    <x v="3"/>
    <s v="Ananya"/>
    <x v="2"/>
    <s v="Mouse"/>
    <n v="4"/>
    <n v="708.16"/>
    <n v="2832.64"/>
    <n v="2241.1999999999998"/>
    <n v="591.44000000000005"/>
    <x v="1"/>
    <n v="0.2087946226841392"/>
  </r>
  <r>
    <s v="ORD0376"/>
    <x v="201"/>
    <x v="0"/>
    <s v="Rohan"/>
    <x v="2"/>
    <s v="Laptop"/>
    <n v="12"/>
    <n v="42806.45"/>
    <n v="513677.4"/>
    <n v="337797.59"/>
    <n v="175879.81"/>
    <x v="2"/>
    <n v="0.34239351390580935"/>
  </r>
  <r>
    <s v="ORD0377"/>
    <x v="143"/>
    <x v="2"/>
    <s v="Ananya"/>
    <x v="3"/>
    <s v="Webcam"/>
    <n v="4"/>
    <n v="3197.84"/>
    <n v="12791.36"/>
    <n v="8933.7800000000007"/>
    <n v="3857.58"/>
    <x v="1"/>
    <n v="0.30157700197633402"/>
  </r>
  <r>
    <s v="ORD0378"/>
    <x v="203"/>
    <x v="3"/>
    <s v="Rahul"/>
    <x v="1"/>
    <s v="Office Chair"/>
    <n v="20"/>
    <n v="7202.51"/>
    <n v="144050.20000000001"/>
    <n v="106741.33"/>
    <n v="37308.870000000003"/>
    <x v="0"/>
    <n v="0.25899908504118702"/>
  </r>
  <r>
    <s v="ORD0379"/>
    <x v="240"/>
    <x v="1"/>
    <s v="Kavya"/>
    <x v="3"/>
    <s v="Webcam"/>
    <n v="16"/>
    <n v="3212.38"/>
    <n v="51398.080000000002"/>
    <n v="39677.040000000001"/>
    <n v="11721.04"/>
    <x v="2"/>
    <n v="0.22804431605227277"/>
  </r>
  <r>
    <s v="ORD0380"/>
    <x v="241"/>
    <x v="3"/>
    <s v="Meera"/>
    <x v="0"/>
    <s v="Printer Paper"/>
    <n v="15"/>
    <n v="340.7"/>
    <n v="5110.5"/>
    <n v="3781.74"/>
    <n v="1328.76"/>
    <x v="2"/>
    <n v="0.26000587026709715"/>
  </r>
  <r>
    <s v="ORD0381"/>
    <x v="242"/>
    <x v="0"/>
    <s v="Rahul"/>
    <x v="0"/>
    <s v="Pen Pack"/>
    <n v="7"/>
    <n v="247.47"/>
    <n v="1732.29"/>
    <n v="1449.41"/>
    <n v="282.88"/>
    <x v="0"/>
    <n v="0.16329829301098545"/>
  </r>
  <r>
    <s v="ORD0382"/>
    <x v="190"/>
    <x v="1"/>
    <s v="Vikram"/>
    <x v="3"/>
    <s v="USB Drive"/>
    <n v="13"/>
    <n v="610.16"/>
    <n v="7932.08"/>
    <n v="5079.3599999999997"/>
    <n v="2852.72"/>
    <x v="0"/>
    <n v="0.35964337223023468"/>
  </r>
  <r>
    <s v="ORD0383"/>
    <x v="243"/>
    <x v="0"/>
    <s v="Ananya"/>
    <x v="1"/>
    <s v="Desk"/>
    <n v="5"/>
    <n v="10363.09"/>
    <n v="51815.45"/>
    <n v="40661.31"/>
    <n v="11154.14"/>
    <x v="2"/>
    <n v="0.21526668204174623"/>
  </r>
  <r>
    <s v="ORD0384"/>
    <x v="244"/>
    <x v="0"/>
    <s v="Ananya"/>
    <x v="1"/>
    <s v="Desk"/>
    <n v="3"/>
    <n v="11142.95"/>
    <n v="33428.85"/>
    <n v="21072.91"/>
    <n v="12355.94"/>
    <x v="0"/>
    <n v="0.36961905659333183"/>
  </r>
  <r>
    <s v="ORD0385"/>
    <x v="64"/>
    <x v="2"/>
    <s v="Rahul"/>
    <x v="3"/>
    <s v="Headset"/>
    <n v="12"/>
    <n v="2282.35"/>
    <n v="27388.2"/>
    <n v="22167.77"/>
    <n v="5220.43"/>
    <x v="2"/>
    <n v="0.19060872930678177"/>
  </r>
  <r>
    <s v="ORD0386"/>
    <x v="119"/>
    <x v="3"/>
    <s v="Priya"/>
    <x v="1"/>
    <s v="Bookshelf"/>
    <n v="20"/>
    <n v="8458.6"/>
    <n v="169172"/>
    <n v="140557.39000000001"/>
    <n v="28614.61"/>
    <x v="0"/>
    <n v="0.16914507128839287"/>
  </r>
  <r>
    <s v="ORD0387"/>
    <x v="176"/>
    <x v="0"/>
    <s v="Priya"/>
    <x v="0"/>
    <s v="Notebook"/>
    <n v="20"/>
    <n v="127.27"/>
    <n v="2545.4"/>
    <n v="1718.57"/>
    <n v="826.83"/>
    <x v="0"/>
    <n v="0.32483303213640291"/>
  </r>
  <r>
    <s v="ORD0388"/>
    <x v="245"/>
    <x v="0"/>
    <s v="Neha"/>
    <x v="1"/>
    <s v="Bookshelf"/>
    <n v="3"/>
    <n v="8059.28"/>
    <n v="24177.84"/>
    <n v="19411.78"/>
    <n v="4766.0600000000004"/>
    <x v="2"/>
    <n v="0.19712513607501747"/>
  </r>
  <r>
    <s v="ORD0389"/>
    <x v="26"/>
    <x v="1"/>
    <s v="Imran"/>
    <x v="3"/>
    <s v="USB Drive"/>
    <n v="7"/>
    <n v="567.26"/>
    <n v="3970.82"/>
    <n v="3082.64"/>
    <n v="888.18"/>
    <x v="1"/>
    <n v="0.2236767216846898"/>
  </r>
  <r>
    <s v="ORD0390"/>
    <x v="246"/>
    <x v="0"/>
    <s v="Imran"/>
    <x v="1"/>
    <s v="Desk"/>
    <n v="13"/>
    <n v="11622.31"/>
    <n v="151090.03"/>
    <n v="117428.72"/>
    <n v="33661.31"/>
    <x v="2"/>
    <n v="0.22278974992592163"/>
  </r>
  <r>
    <s v="ORD0391"/>
    <x v="247"/>
    <x v="0"/>
    <s v="Meera"/>
    <x v="0"/>
    <s v="Printer Paper"/>
    <n v="13"/>
    <n v="317.38"/>
    <n v="4125.9399999999996"/>
    <n v="3337.42"/>
    <n v="788.52"/>
    <x v="2"/>
    <n v="0.19111281308017083"/>
  </r>
  <r>
    <s v="ORD0392"/>
    <x v="248"/>
    <x v="2"/>
    <s v="Imran"/>
    <x v="3"/>
    <s v="Headset"/>
    <n v="9"/>
    <n v="2164.38"/>
    <n v="19479.419999999998"/>
    <n v="16662.400000000001"/>
    <n v="2817.02"/>
    <x v="2"/>
    <n v="0.14461518874791962"/>
  </r>
  <r>
    <s v="ORD0393"/>
    <x v="218"/>
    <x v="2"/>
    <s v="Ananya"/>
    <x v="2"/>
    <s v="Keyboard"/>
    <n v="10"/>
    <n v="1441.32"/>
    <n v="14413.2"/>
    <n v="10252.99"/>
    <n v="4160.21"/>
    <x v="0"/>
    <n v="0.28863888657619402"/>
  </r>
  <r>
    <s v="ORD0394"/>
    <x v="63"/>
    <x v="1"/>
    <s v="Imran"/>
    <x v="3"/>
    <s v="USB Drive"/>
    <n v="9"/>
    <n v="554.84"/>
    <n v="4993.5600000000004"/>
    <n v="3778.14"/>
    <n v="1215.42"/>
    <x v="2"/>
    <n v="0.24339749597481555"/>
  </r>
  <r>
    <s v="ORD0395"/>
    <x v="170"/>
    <x v="2"/>
    <s v="Aarav"/>
    <x v="1"/>
    <s v="Bookshelf"/>
    <n v="11"/>
    <n v="7963.61"/>
    <n v="87599.71"/>
    <n v="65915.759999999995"/>
    <n v="21683.95"/>
    <x v="0"/>
    <n v="0.24753449526259846"/>
  </r>
  <r>
    <s v="ORD0396"/>
    <x v="76"/>
    <x v="3"/>
    <s v="Kavya"/>
    <x v="2"/>
    <s v="Keyboard"/>
    <n v="20"/>
    <n v="1365.44"/>
    <n v="27308.799999999999"/>
    <n v="20721.28"/>
    <n v="6587.52"/>
    <x v="2"/>
    <n v="0.24122334192641201"/>
  </r>
  <r>
    <s v="ORD0397"/>
    <x v="235"/>
    <x v="3"/>
    <s v="Rohan"/>
    <x v="1"/>
    <s v="Bookshelf"/>
    <n v="6"/>
    <n v="7998.24"/>
    <n v="47989.440000000002"/>
    <n v="38808.85"/>
    <n v="9180.59"/>
    <x v="1"/>
    <n v="0.19130437862996524"/>
  </r>
  <r>
    <s v="ORD0398"/>
    <x v="249"/>
    <x v="3"/>
    <s v="Aarav"/>
    <x v="2"/>
    <s v="Laptop"/>
    <n v="10"/>
    <n v="44939.5"/>
    <n v="449395"/>
    <n v="328512.25"/>
    <n v="120882.75"/>
    <x v="1"/>
    <n v="0.26898997541138642"/>
  </r>
  <r>
    <s v="ORD0399"/>
    <x v="98"/>
    <x v="3"/>
    <s v="Rohan"/>
    <x v="3"/>
    <s v="Headset"/>
    <n v="11"/>
    <n v="2391.58"/>
    <n v="26307.38"/>
    <n v="17119.88"/>
    <n v="9187.5"/>
    <x v="0"/>
    <n v="0.34923660204855062"/>
  </r>
  <r>
    <s v="ORD0400"/>
    <x v="14"/>
    <x v="3"/>
    <s v="Neha"/>
    <x v="3"/>
    <s v="Headset"/>
    <n v="5"/>
    <n v="2168.9499999999998"/>
    <n v="10844.75"/>
    <n v="9253.52"/>
    <n v="1591.23"/>
    <x v="0"/>
    <n v="0.14672814034440629"/>
  </r>
  <r>
    <s v="ORD0401"/>
    <x v="1"/>
    <x v="3"/>
    <s v="Rohan"/>
    <x v="0"/>
    <s v="Notebook"/>
    <n v="2"/>
    <n v="120.34"/>
    <n v="240.68"/>
    <n v="189.59"/>
    <n v="51.09"/>
    <x v="1"/>
    <n v="0.21227355825162042"/>
  </r>
  <r>
    <s v="ORD0402"/>
    <x v="250"/>
    <x v="2"/>
    <s v="Neha"/>
    <x v="1"/>
    <s v="Bookshelf"/>
    <n v="12"/>
    <n v="7478.52"/>
    <n v="89742.24"/>
    <n v="67237.75"/>
    <n v="22504.49"/>
    <x v="1"/>
    <n v="0.25076808869491113"/>
  </r>
  <r>
    <s v="ORD0403"/>
    <x v="147"/>
    <x v="3"/>
    <s v="Rohan"/>
    <x v="3"/>
    <s v="Webcam"/>
    <n v="8"/>
    <n v="3537.43"/>
    <n v="28299.439999999999"/>
    <n v="22171.58"/>
    <n v="6127.86"/>
    <x v="0"/>
    <n v="0.21653644029705182"/>
  </r>
  <r>
    <s v="ORD0404"/>
    <x v="173"/>
    <x v="0"/>
    <s v="Rahul"/>
    <x v="2"/>
    <s v="Laptop"/>
    <n v="8"/>
    <n v="44262.37"/>
    <n v="354098.96"/>
    <n v="292115.8"/>
    <n v="61983.16"/>
    <x v="0"/>
    <n v="0.17504473890575675"/>
  </r>
  <r>
    <s v="ORD0405"/>
    <x v="75"/>
    <x v="2"/>
    <s v="Rahul"/>
    <x v="3"/>
    <s v="Headset"/>
    <n v="2"/>
    <n v="2077.04"/>
    <n v="4154.08"/>
    <n v="2896.37"/>
    <n v="1257.71"/>
    <x v="0"/>
    <n v="0.30276499248931171"/>
  </r>
  <r>
    <s v="ORD0406"/>
    <x v="227"/>
    <x v="1"/>
    <s v="Aarav"/>
    <x v="1"/>
    <s v="Bookshelf"/>
    <n v="6"/>
    <n v="8897.15"/>
    <n v="53382.9"/>
    <n v="44041.47"/>
    <n v="9341.43"/>
    <x v="2"/>
    <n v="0.1749891819290447"/>
  </r>
  <r>
    <s v="ORD0407"/>
    <x v="136"/>
    <x v="0"/>
    <s v="Meera"/>
    <x v="2"/>
    <s v="Keyboard"/>
    <n v="8"/>
    <n v="1634.39"/>
    <n v="13075.12"/>
    <n v="11012.99"/>
    <n v="2062.13"/>
    <x v="1"/>
    <n v="0.15771404010058798"/>
  </r>
  <r>
    <s v="ORD0408"/>
    <x v="186"/>
    <x v="1"/>
    <s v="Priya"/>
    <x v="2"/>
    <s v="Monitor"/>
    <n v="12"/>
    <n v="11390.28"/>
    <n v="136683.35999999999"/>
    <n v="100398.56"/>
    <n v="36284.800000000003"/>
    <x v="0"/>
    <n v="0.26546611087114047"/>
  </r>
  <r>
    <s v="ORD0409"/>
    <x v="251"/>
    <x v="1"/>
    <s v="Aarav"/>
    <x v="3"/>
    <s v="Webcam"/>
    <n v="16"/>
    <n v="3400.23"/>
    <n v="54403.68"/>
    <n v="35298.76"/>
    <n v="19104.919999999998"/>
    <x v="2"/>
    <n v="0.35116962676054264"/>
  </r>
  <r>
    <s v="ORD0410"/>
    <x v="252"/>
    <x v="0"/>
    <s v="Kavya"/>
    <x v="2"/>
    <s v="Keyboard"/>
    <n v="9"/>
    <n v="1358.92"/>
    <n v="12230.28"/>
    <n v="9709.9"/>
    <n v="2520.38"/>
    <x v="2"/>
    <n v="0.20607704811337108"/>
  </r>
  <r>
    <s v="ORD0411"/>
    <x v="253"/>
    <x v="3"/>
    <s v="Priya"/>
    <x v="2"/>
    <s v="Mouse"/>
    <n v="9"/>
    <n v="769.74"/>
    <n v="6927.66"/>
    <n v="4491.2"/>
    <n v="2436.46"/>
    <x v="1"/>
    <n v="0.35170028552209548"/>
  </r>
  <r>
    <s v="ORD0412"/>
    <x v="107"/>
    <x v="1"/>
    <s v="Aarav"/>
    <x v="1"/>
    <s v="Office Chair"/>
    <n v="20"/>
    <n v="6792.92"/>
    <n v="135858.4"/>
    <n v="89120.73"/>
    <n v="46737.67"/>
    <x v="2"/>
    <n v="0.34401752118382078"/>
  </r>
  <r>
    <s v="ORD0413"/>
    <x v="242"/>
    <x v="3"/>
    <s v="Vikram"/>
    <x v="0"/>
    <s v="Notebook"/>
    <n v="20"/>
    <n v="127.65"/>
    <n v="2553"/>
    <n v="2094.98"/>
    <n v="458.02"/>
    <x v="0"/>
    <n v="0.17940462201331767"/>
  </r>
  <r>
    <s v="ORD0414"/>
    <x v="224"/>
    <x v="0"/>
    <s v="Rahul"/>
    <x v="2"/>
    <s v="Mouse"/>
    <n v="11"/>
    <n v="725.35"/>
    <n v="7978.85"/>
    <n v="6698.33"/>
    <n v="1280.52"/>
    <x v="2"/>
    <n v="0.16048929356987535"/>
  </r>
  <r>
    <s v="ORD0415"/>
    <x v="78"/>
    <x v="2"/>
    <s v="Meera"/>
    <x v="3"/>
    <s v="Webcam"/>
    <n v="15"/>
    <n v="3252.56"/>
    <n v="48788.4"/>
    <n v="32949.230000000003"/>
    <n v="15839.17"/>
    <x v="1"/>
    <n v="0.3246503267170065"/>
  </r>
  <r>
    <s v="ORD0416"/>
    <x v="64"/>
    <x v="3"/>
    <s v="Neha"/>
    <x v="0"/>
    <s v="Printer Paper"/>
    <n v="13"/>
    <n v="371.99"/>
    <n v="4835.87"/>
    <n v="3544.79"/>
    <n v="1291.08"/>
    <x v="0"/>
    <n v="0.26697988159317765"/>
  </r>
  <r>
    <s v="ORD0417"/>
    <x v="89"/>
    <x v="2"/>
    <s v="Imran"/>
    <x v="0"/>
    <s v="Notebook"/>
    <n v="14"/>
    <n v="124.56"/>
    <n v="1743.84"/>
    <n v="1349"/>
    <n v="394.84"/>
    <x v="1"/>
    <n v="0.22641985503257178"/>
  </r>
  <r>
    <s v="ORD0418"/>
    <x v="254"/>
    <x v="0"/>
    <s v="Imran"/>
    <x v="1"/>
    <s v="Desk"/>
    <n v="14"/>
    <n v="10116.879999999999"/>
    <n v="141636.32"/>
    <n v="90218.73"/>
    <n v="51417.59"/>
    <x v="2"/>
    <n v="0.36302545844173301"/>
  </r>
  <r>
    <s v="ORD0419"/>
    <x v="93"/>
    <x v="0"/>
    <s v="Ananya"/>
    <x v="2"/>
    <s v="Laptop"/>
    <n v="8"/>
    <n v="49935.47"/>
    <n v="399483.76"/>
    <n v="260388.28"/>
    <n v="139095.48000000001"/>
    <x v="1"/>
    <n v="0.34818807152511033"/>
  </r>
  <r>
    <s v="ORD0420"/>
    <x v="255"/>
    <x v="2"/>
    <s v="Rahul"/>
    <x v="3"/>
    <s v="USB Drive"/>
    <n v="13"/>
    <n v="540.78"/>
    <n v="7030.14"/>
    <n v="5607.72"/>
    <n v="1422.42"/>
    <x v="2"/>
    <n v="0.20233167476038885"/>
  </r>
  <r>
    <s v="ORD0421"/>
    <x v="256"/>
    <x v="3"/>
    <s v="Imran"/>
    <x v="0"/>
    <s v="Notebook"/>
    <n v="7"/>
    <n v="123.22"/>
    <n v="862.54"/>
    <n v="580.97"/>
    <n v="281.57"/>
    <x v="2"/>
    <n v="0.32644283163679366"/>
  </r>
  <r>
    <s v="ORD0422"/>
    <x v="91"/>
    <x v="1"/>
    <s v="Meera"/>
    <x v="3"/>
    <s v="Webcam"/>
    <n v="7"/>
    <n v="3162.9"/>
    <n v="22140.3"/>
    <n v="18538.98"/>
    <n v="3601.32"/>
    <x v="2"/>
    <n v="0.16265904256039893"/>
  </r>
  <r>
    <s v="ORD0423"/>
    <x v="257"/>
    <x v="0"/>
    <s v="Rahul"/>
    <x v="1"/>
    <s v="Office Chair"/>
    <n v="13"/>
    <n v="6617.72"/>
    <n v="86030.36"/>
    <n v="70850.600000000006"/>
    <n v="15179.76"/>
    <x v="0"/>
    <n v="0.1764465474746357"/>
  </r>
  <r>
    <s v="ORD0424"/>
    <x v="258"/>
    <x v="0"/>
    <s v="Neha"/>
    <x v="1"/>
    <s v="Bookshelf"/>
    <n v="19"/>
    <n v="7721.31"/>
    <n v="146704.89000000001"/>
    <n v="120472.82"/>
    <n v="26232.07"/>
    <x v="2"/>
    <n v="0.1788084228139907"/>
  </r>
  <r>
    <s v="ORD0425"/>
    <x v="117"/>
    <x v="3"/>
    <s v="Meera"/>
    <x v="3"/>
    <s v="USB Drive"/>
    <n v="14"/>
    <n v="622.20000000000005"/>
    <n v="8710.7999999999993"/>
    <n v="5491.15"/>
    <n v="3219.65"/>
    <x v="0"/>
    <n v="0.36961587913854071"/>
  </r>
  <r>
    <s v="ORD0426"/>
    <x v="89"/>
    <x v="3"/>
    <s v="Rahul"/>
    <x v="1"/>
    <s v="Desk"/>
    <n v="15"/>
    <n v="10574.67"/>
    <n v="158620.04999999999"/>
    <n v="104198.68"/>
    <n v="54421.37"/>
    <x v="2"/>
    <n v="0.34309262921049394"/>
  </r>
  <r>
    <s v="ORD0427"/>
    <x v="10"/>
    <x v="2"/>
    <s v="Rahul"/>
    <x v="3"/>
    <s v="Webcam"/>
    <n v="4"/>
    <n v="3423.13"/>
    <n v="13692.52"/>
    <n v="10016.700000000001"/>
    <n v="3675.82"/>
    <x v="2"/>
    <n v="0.26845460149044881"/>
  </r>
  <r>
    <s v="ORD0428"/>
    <x v="203"/>
    <x v="0"/>
    <s v="Vikram"/>
    <x v="0"/>
    <s v="Notebook"/>
    <n v="16"/>
    <n v="128.25"/>
    <n v="2052"/>
    <n v="1658.14"/>
    <n v="393.86"/>
    <x v="2"/>
    <n v="0.19193957115009747"/>
  </r>
  <r>
    <s v="ORD0429"/>
    <x v="259"/>
    <x v="3"/>
    <s v="Rahul"/>
    <x v="0"/>
    <s v="Printer Paper"/>
    <n v="2"/>
    <n v="356.57"/>
    <n v="713.14"/>
    <n v="479.16"/>
    <n v="233.98"/>
    <x v="0"/>
    <n v="0.32809826962447763"/>
  </r>
  <r>
    <s v="ORD0430"/>
    <x v="70"/>
    <x v="3"/>
    <s v="Meera"/>
    <x v="2"/>
    <s v="Mouse"/>
    <n v="1"/>
    <n v="638.82000000000005"/>
    <n v="638.82000000000005"/>
    <n v="426.91"/>
    <n v="211.91"/>
    <x v="2"/>
    <n v="0.33172098556713936"/>
  </r>
  <r>
    <s v="ORD0431"/>
    <x v="260"/>
    <x v="3"/>
    <s v="Rohan"/>
    <x v="2"/>
    <s v="Keyboard"/>
    <n v="18"/>
    <n v="1659.64"/>
    <n v="29873.52"/>
    <n v="23701.24"/>
    <n v="6172.28"/>
    <x v="0"/>
    <n v="0.20661375023766868"/>
  </r>
  <r>
    <s v="ORD0432"/>
    <x v="242"/>
    <x v="2"/>
    <s v="Priya"/>
    <x v="3"/>
    <s v="USB Drive"/>
    <n v="10"/>
    <n v="573.26"/>
    <n v="5732.6"/>
    <n v="4259.5600000000004"/>
    <n v="1473.04"/>
    <x v="0"/>
    <n v="0.25695844817360358"/>
  </r>
  <r>
    <s v="ORD0433"/>
    <x v="238"/>
    <x v="1"/>
    <s v="Aarav"/>
    <x v="0"/>
    <s v="Notebook"/>
    <n v="20"/>
    <n v="114.24"/>
    <n v="2284.8000000000002"/>
    <n v="1527.08"/>
    <n v="757.72"/>
    <x v="0"/>
    <n v="0.33163515406162464"/>
  </r>
  <r>
    <s v="ORD0434"/>
    <x v="86"/>
    <x v="0"/>
    <s v="Rohan"/>
    <x v="1"/>
    <s v="Office Chair"/>
    <n v="19"/>
    <n v="7032.65"/>
    <n v="133620.35"/>
    <n v="96859.95"/>
    <n v="36760.400000000001"/>
    <x v="0"/>
    <n v="0.2751107896364588"/>
  </r>
  <r>
    <s v="ORD0435"/>
    <x v="261"/>
    <x v="0"/>
    <s v="Ananya"/>
    <x v="2"/>
    <s v="Mouse"/>
    <n v="13"/>
    <n v="689.64"/>
    <n v="8965.32"/>
    <n v="6655.08"/>
    <n v="2310.2399999999998"/>
    <x v="0"/>
    <n v="0.25768628448287401"/>
  </r>
  <r>
    <s v="ORD0436"/>
    <x v="96"/>
    <x v="0"/>
    <s v="Ananya"/>
    <x v="2"/>
    <s v="Keyboard"/>
    <n v="20"/>
    <n v="1679.65"/>
    <n v="33593"/>
    <n v="21632.85"/>
    <n v="11960.15"/>
    <x v="1"/>
    <n v="0.35603101836692169"/>
  </r>
  <r>
    <s v="ORD0437"/>
    <x v="151"/>
    <x v="3"/>
    <s v="Aarav"/>
    <x v="2"/>
    <s v="Mouse"/>
    <n v="10"/>
    <n v="683.16"/>
    <n v="6831.6"/>
    <n v="5847.44"/>
    <n v="984.16"/>
    <x v="1"/>
    <n v="0.14405995667193627"/>
  </r>
  <r>
    <s v="ORD0438"/>
    <x v="262"/>
    <x v="0"/>
    <s v="Rohan"/>
    <x v="1"/>
    <s v="Bookshelf"/>
    <n v="1"/>
    <n v="8876.09"/>
    <n v="8876.09"/>
    <n v="6625.9"/>
    <n v="2250.19"/>
    <x v="0"/>
    <n v="0.25351139972668146"/>
  </r>
  <r>
    <s v="ORD0439"/>
    <x v="137"/>
    <x v="3"/>
    <s v="Meera"/>
    <x v="2"/>
    <s v="Keyboard"/>
    <n v="6"/>
    <n v="1603.76"/>
    <n v="9622.56"/>
    <n v="8057.11"/>
    <n v="1565.45"/>
    <x v="0"/>
    <n v="0.16268539764885853"/>
  </r>
  <r>
    <s v="ORD0440"/>
    <x v="263"/>
    <x v="2"/>
    <s v="Vikram"/>
    <x v="2"/>
    <s v="Laptop"/>
    <n v="11"/>
    <n v="48245.27"/>
    <n v="530697.97"/>
    <n v="420844.09"/>
    <n v="109853.88"/>
    <x v="1"/>
    <n v="0.20699886980913082"/>
  </r>
  <r>
    <s v="ORD0441"/>
    <x v="113"/>
    <x v="0"/>
    <s v="Neha"/>
    <x v="3"/>
    <s v="Headset"/>
    <n v="11"/>
    <n v="2441.9"/>
    <n v="26860.9"/>
    <n v="19188.03"/>
    <n v="7672.87"/>
    <x v="2"/>
    <n v="0.2856520071926108"/>
  </r>
  <r>
    <s v="ORD0442"/>
    <x v="264"/>
    <x v="0"/>
    <s v="Ananya"/>
    <x v="0"/>
    <s v="Printer Paper"/>
    <n v="19"/>
    <n v="319.86"/>
    <n v="6077.34"/>
    <n v="4295.75"/>
    <n v="1781.59"/>
    <x v="1"/>
    <n v="0.2931529254575192"/>
  </r>
  <r>
    <s v="ORD0443"/>
    <x v="125"/>
    <x v="3"/>
    <s v="Vikram"/>
    <x v="3"/>
    <s v="Headset"/>
    <n v="11"/>
    <n v="2107.5700000000002"/>
    <n v="23183.27"/>
    <n v="16801.86"/>
    <n v="6381.41"/>
    <x v="1"/>
    <n v="0.27525927101741904"/>
  </r>
  <r>
    <s v="ORD0444"/>
    <x v="178"/>
    <x v="1"/>
    <s v="Ananya"/>
    <x v="1"/>
    <s v="Desk"/>
    <n v="15"/>
    <n v="10260.82"/>
    <n v="153912.29999999999"/>
    <n v="104648.29"/>
    <n v="49264.01"/>
    <x v="0"/>
    <n v="0.32007844727159562"/>
  </r>
  <r>
    <s v="ORD0445"/>
    <x v="35"/>
    <x v="0"/>
    <s v="Ananya"/>
    <x v="1"/>
    <s v="Office Chair"/>
    <n v="12"/>
    <n v="6841.6"/>
    <n v="82099.199999999997"/>
    <n v="53241.13"/>
    <n v="28858.07"/>
    <x v="0"/>
    <n v="0.35150245069379482"/>
  </r>
  <r>
    <s v="ORD0446"/>
    <x v="223"/>
    <x v="3"/>
    <s v="Rahul"/>
    <x v="2"/>
    <s v="Laptop"/>
    <n v="20"/>
    <n v="44449.59"/>
    <n v="888991.8"/>
    <n v="709643.93"/>
    <n v="179347.87"/>
    <x v="1"/>
    <n v="0.20174299695452758"/>
  </r>
  <r>
    <s v="ORD0447"/>
    <x v="106"/>
    <x v="2"/>
    <s v="Rahul"/>
    <x v="0"/>
    <s v="Printer Paper"/>
    <n v="12"/>
    <n v="345.72"/>
    <n v="4148.6400000000003"/>
    <n v="2898.12"/>
    <n v="1250.52"/>
    <x v="0"/>
    <n v="0.30142890200161976"/>
  </r>
  <r>
    <s v="ORD0448"/>
    <x v="217"/>
    <x v="3"/>
    <s v="Rahul"/>
    <x v="1"/>
    <s v="Bookshelf"/>
    <n v="1"/>
    <n v="7390.25"/>
    <n v="7390.25"/>
    <n v="4660.72"/>
    <n v="2729.53"/>
    <x v="2"/>
    <n v="0.36934203849666791"/>
  </r>
  <r>
    <s v="ORD0449"/>
    <x v="40"/>
    <x v="2"/>
    <s v="Neha"/>
    <x v="0"/>
    <s v="Notebook"/>
    <n v="2"/>
    <n v="125.33"/>
    <n v="250.66"/>
    <n v="175.26"/>
    <n v="75.400000000000006"/>
    <x v="2"/>
    <n v="0.30080587249660901"/>
  </r>
  <r>
    <s v="ORD0450"/>
    <x v="241"/>
    <x v="3"/>
    <s v="Imran"/>
    <x v="1"/>
    <s v="Office Chair"/>
    <n v="2"/>
    <n v="5853.88"/>
    <n v="11707.76"/>
    <n v="7814.53"/>
    <n v="3893.23"/>
    <x v="0"/>
    <n v="0.33253414829138966"/>
  </r>
  <r>
    <s v="ORD0451"/>
    <x v="52"/>
    <x v="1"/>
    <s v="Neha"/>
    <x v="2"/>
    <s v="Monitor"/>
    <n v="12"/>
    <n v="11954.29"/>
    <n v="143451.48000000001"/>
    <n v="96521.51"/>
    <n v="46929.97"/>
    <x v="0"/>
    <n v="0.32714873349511625"/>
  </r>
  <r>
    <s v="ORD0452"/>
    <x v="141"/>
    <x v="0"/>
    <s v="Ananya"/>
    <x v="1"/>
    <s v="Office Chair"/>
    <n v="17"/>
    <n v="6354.84"/>
    <n v="108032.28"/>
    <n v="92819.64"/>
    <n v="15212.64"/>
    <x v="0"/>
    <n v="0.14081568953279519"/>
  </r>
  <r>
    <s v="ORD0453"/>
    <x v="265"/>
    <x v="3"/>
    <s v="Rahul"/>
    <x v="3"/>
    <s v="Webcam"/>
    <n v="18"/>
    <n v="3410.31"/>
    <n v="61385.58"/>
    <n v="45024.49"/>
    <n v="16361.09"/>
    <x v="0"/>
    <n v="0.2665298592926873"/>
  </r>
  <r>
    <s v="ORD0454"/>
    <x v="260"/>
    <x v="3"/>
    <s v="Aarav"/>
    <x v="3"/>
    <s v="USB Drive"/>
    <n v="3"/>
    <n v="642.9"/>
    <n v="1928.7"/>
    <n v="1517.77"/>
    <n v="410.93"/>
    <x v="2"/>
    <n v="0.21306061077409655"/>
  </r>
  <r>
    <s v="ORD0455"/>
    <x v="41"/>
    <x v="0"/>
    <s v="Meera"/>
    <x v="1"/>
    <s v="Desk"/>
    <n v="5"/>
    <n v="10008.77"/>
    <n v="50043.85"/>
    <n v="35263.17"/>
    <n v="14780.68"/>
    <x v="0"/>
    <n v="0.29535457403856819"/>
  </r>
  <r>
    <s v="ORD0456"/>
    <x v="266"/>
    <x v="0"/>
    <s v="Rohan"/>
    <x v="3"/>
    <s v="USB Drive"/>
    <n v="7"/>
    <n v="632.46"/>
    <n v="4427.22"/>
    <n v="3468.51"/>
    <n v="958.71"/>
    <x v="1"/>
    <n v="0.21654898559366825"/>
  </r>
  <r>
    <s v="ORD0457"/>
    <x v="267"/>
    <x v="3"/>
    <s v="Vikram"/>
    <x v="3"/>
    <s v="Webcam"/>
    <n v="1"/>
    <n v="3549.62"/>
    <n v="3549.62"/>
    <n v="2905.75"/>
    <n v="643.87"/>
    <x v="0"/>
    <n v="0.18139124751381838"/>
  </r>
  <r>
    <s v="ORD0458"/>
    <x v="268"/>
    <x v="3"/>
    <s v="Priya"/>
    <x v="0"/>
    <s v="Notebook"/>
    <n v="16"/>
    <n v="131.65"/>
    <n v="2106.4"/>
    <n v="1700.64"/>
    <n v="405.76"/>
    <x v="2"/>
    <n v="0.19263197873148499"/>
  </r>
  <r>
    <s v="ORD0459"/>
    <x v="269"/>
    <x v="3"/>
    <s v="Vikram"/>
    <x v="0"/>
    <s v="Pen Pack"/>
    <n v="6"/>
    <n v="259.23"/>
    <n v="1555.38"/>
    <n v="1180.1600000000001"/>
    <n v="375.22"/>
    <x v="2"/>
    <n v="0.24124008280934561"/>
  </r>
  <r>
    <s v="ORD0460"/>
    <x v="24"/>
    <x v="0"/>
    <s v="Neha"/>
    <x v="2"/>
    <s v="Keyboard"/>
    <n v="12"/>
    <n v="1380.01"/>
    <n v="16560.12"/>
    <n v="11249.35"/>
    <n v="5310.77"/>
    <x v="1"/>
    <n v="0.32069634761100768"/>
  </r>
  <r>
    <s v="ORD0461"/>
    <x v="92"/>
    <x v="2"/>
    <s v="Neha"/>
    <x v="3"/>
    <s v="Headset"/>
    <n v="18"/>
    <n v="2276.9499999999998"/>
    <n v="40985.1"/>
    <n v="25428.78"/>
    <n v="15556.32"/>
    <x v="2"/>
    <n v="0.37956037681986871"/>
  </r>
  <r>
    <s v="ORD0462"/>
    <x v="145"/>
    <x v="1"/>
    <s v="Meera"/>
    <x v="3"/>
    <s v="Webcam"/>
    <n v="11"/>
    <n v="3426.82"/>
    <n v="37695.019999999997"/>
    <n v="25540.799999999999"/>
    <n v="12154.22"/>
    <x v="2"/>
    <n v="0.32243569574973036"/>
  </r>
  <r>
    <s v="ORD0463"/>
    <x v="54"/>
    <x v="1"/>
    <s v="Neha"/>
    <x v="1"/>
    <s v="Desk"/>
    <n v="20"/>
    <n v="9952.84"/>
    <n v="199056.8"/>
    <n v="141298.07999999999"/>
    <n v="57758.720000000001"/>
    <x v="2"/>
    <n v="0.29016200401091552"/>
  </r>
  <r>
    <s v="ORD0464"/>
    <x v="18"/>
    <x v="0"/>
    <s v="Ananya"/>
    <x v="3"/>
    <s v="USB Drive"/>
    <n v="10"/>
    <n v="588.14"/>
    <n v="5881.4"/>
    <n v="4630.53"/>
    <n v="1250.8699999999999"/>
    <x v="2"/>
    <n v="0.21268235454143572"/>
  </r>
  <r>
    <s v="ORD0465"/>
    <x v="270"/>
    <x v="2"/>
    <s v="Neha"/>
    <x v="2"/>
    <s v="Keyboard"/>
    <n v="7"/>
    <n v="1404.53"/>
    <n v="9831.7099999999991"/>
    <n v="7809.99"/>
    <n v="2021.72"/>
    <x v="2"/>
    <n v="0.20563259087178123"/>
  </r>
  <r>
    <s v="ORD0466"/>
    <x v="268"/>
    <x v="1"/>
    <s v="Rahul"/>
    <x v="2"/>
    <s v="Laptop"/>
    <n v="3"/>
    <n v="48396.44"/>
    <n v="145189.32"/>
    <n v="98583.38"/>
    <n v="46605.94"/>
    <x v="0"/>
    <n v="0.32100115903841964"/>
  </r>
  <r>
    <s v="ORD0467"/>
    <x v="271"/>
    <x v="2"/>
    <s v="Priya"/>
    <x v="1"/>
    <s v="Office Chair"/>
    <n v="18"/>
    <n v="6881.28"/>
    <n v="123863.03999999999"/>
    <n v="96784.7"/>
    <n v="27078.34"/>
    <x v="0"/>
    <n v="0.2186151736627811"/>
  </r>
  <r>
    <s v="ORD0468"/>
    <x v="272"/>
    <x v="0"/>
    <s v="Rohan"/>
    <x v="1"/>
    <s v="Office Chair"/>
    <n v="12"/>
    <n v="6668.26"/>
    <n v="80019.12"/>
    <n v="65989.850000000006"/>
    <n v="14029.27"/>
    <x v="2"/>
    <n v="0.17532397257055565"/>
  </r>
  <r>
    <s v="ORD0469"/>
    <x v="23"/>
    <x v="2"/>
    <s v="Aarav"/>
    <x v="0"/>
    <s v="Pen Pack"/>
    <n v="9"/>
    <n v="274.58"/>
    <n v="2471.2199999999998"/>
    <n v="1622.67"/>
    <n v="848.55"/>
    <x v="1"/>
    <n v="0.34337290892757422"/>
  </r>
  <r>
    <s v="ORD0470"/>
    <x v="125"/>
    <x v="0"/>
    <s v="Ananya"/>
    <x v="2"/>
    <s v="Monitor"/>
    <n v="2"/>
    <n v="13416.89"/>
    <n v="26833.78"/>
    <n v="18564.3"/>
    <n v="8269.48"/>
    <x v="1"/>
    <n v="0.30817424902492307"/>
  </r>
  <r>
    <s v="ORD0471"/>
    <x v="183"/>
    <x v="0"/>
    <s v="Kavya"/>
    <x v="0"/>
    <s v="Printer Paper"/>
    <n v="18"/>
    <n v="344.15"/>
    <n v="6194.7"/>
    <n v="5187.0600000000004"/>
    <n v="1007.64"/>
    <x v="0"/>
    <n v="0.16266163010315271"/>
  </r>
  <r>
    <s v="ORD0472"/>
    <x v="173"/>
    <x v="1"/>
    <s v="Rahul"/>
    <x v="3"/>
    <s v="Headset"/>
    <n v="14"/>
    <n v="2309.4499999999998"/>
    <n v="32332.3"/>
    <n v="26447.27"/>
    <n v="5885.03"/>
    <x v="1"/>
    <n v="0.18201705415327707"/>
  </r>
  <r>
    <s v="ORD0473"/>
    <x v="48"/>
    <x v="3"/>
    <s v="Kavya"/>
    <x v="3"/>
    <s v="Webcam"/>
    <n v="16"/>
    <n v="3312.88"/>
    <n v="53006.080000000002"/>
    <n v="40196.660000000003"/>
    <n v="12809.42"/>
    <x v="2"/>
    <n v="0.24165944736905653"/>
  </r>
  <r>
    <s v="ORD0474"/>
    <x v="133"/>
    <x v="3"/>
    <s v="Neha"/>
    <x v="1"/>
    <s v="Desk"/>
    <n v="1"/>
    <n v="12039.42"/>
    <n v="12039.42"/>
    <n v="8896.2000000000007"/>
    <n v="3143.22"/>
    <x v="1"/>
    <n v="0.26107736086954353"/>
  </r>
  <r>
    <s v="ORD0475"/>
    <x v="46"/>
    <x v="1"/>
    <s v="Kavya"/>
    <x v="1"/>
    <s v="Desk"/>
    <n v="16"/>
    <n v="11669.13"/>
    <n v="186706.08"/>
    <n v="119650.41"/>
    <n v="67055.67"/>
    <x v="1"/>
    <n v="0.35915097140917962"/>
  </r>
  <r>
    <s v="ORD0476"/>
    <x v="210"/>
    <x v="2"/>
    <s v="Neha"/>
    <x v="3"/>
    <s v="Headset"/>
    <n v="15"/>
    <n v="2137.65"/>
    <n v="32064.75"/>
    <n v="25930.400000000001"/>
    <n v="6134.35"/>
    <x v="2"/>
    <n v="0.19131133097872274"/>
  </r>
  <r>
    <s v="ORD0477"/>
    <x v="234"/>
    <x v="1"/>
    <s v="Vikram"/>
    <x v="2"/>
    <s v="Mouse"/>
    <n v="2"/>
    <n v="641.16"/>
    <n v="1282.32"/>
    <n v="848.34"/>
    <n v="433.98"/>
    <x v="2"/>
    <n v="0.33843346434587313"/>
  </r>
  <r>
    <s v="ORD0478"/>
    <x v="273"/>
    <x v="2"/>
    <s v="Imran"/>
    <x v="2"/>
    <s v="Mouse"/>
    <n v="4"/>
    <n v="766.21"/>
    <n v="3064.84"/>
    <n v="2392.38"/>
    <n v="672.46"/>
    <x v="2"/>
    <n v="0.21941112749768341"/>
  </r>
  <r>
    <s v="ORD0479"/>
    <x v="13"/>
    <x v="3"/>
    <s v="Neha"/>
    <x v="0"/>
    <s v="Printer Paper"/>
    <n v="2"/>
    <n v="345.04"/>
    <n v="690.08"/>
    <n v="509.36"/>
    <n v="180.72"/>
    <x v="0"/>
    <n v="0.26188268026895428"/>
  </r>
  <r>
    <s v="ORD0480"/>
    <x v="140"/>
    <x v="1"/>
    <s v="Imran"/>
    <x v="2"/>
    <s v="Keyboard"/>
    <n v="7"/>
    <n v="1361.26"/>
    <n v="9528.82"/>
    <n v="6672.66"/>
    <n v="2856.16"/>
    <x v="1"/>
    <n v="0.29973910725567277"/>
  </r>
  <r>
    <s v="ORD0481"/>
    <x v="6"/>
    <x v="1"/>
    <s v="Ananya"/>
    <x v="3"/>
    <s v="Headset"/>
    <n v="13"/>
    <n v="2260.23"/>
    <n v="29382.99"/>
    <n v="18387.75"/>
    <n v="10995.24"/>
    <x v="2"/>
    <n v="0.37420425899474491"/>
  </r>
  <r>
    <s v="ORD0482"/>
    <x v="73"/>
    <x v="1"/>
    <s v="Rohan"/>
    <x v="0"/>
    <s v="Printer Paper"/>
    <n v="2"/>
    <n v="323.36"/>
    <n v="646.72"/>
    <n v="424.79"/>
    <n v="221.93"/>
    <x v="2"/>
    <n v="0.34316241959426025"/>
  </r>
  <r>
    <s v="ORD0483"/>
    <x v="89"/>
    <x v="3"/>
    <s v="Ananya"/>
    <x v="3"/>
    <s v="Headset"/>
    <n v="14"/>
    <n v="2109.9899999999998"/>
    <n v="29539.86"/>
    <n v="22659.77"/>
    <n v="6880.09"/>
    <x v="0"/>
    <n v="0.23290868677102736"/>
  </r>
  <r>
    <s v="ORD0484"/>
    <x v="274"/>
    <x v="2"/>
    <s v="Imran"/>
    <x v="0"/>
    <s v="Pen Pack"/>
    <n v="7"/>
    <n v="229.04"/>
    <n v="1603.28"/>
    <n v="1318.84"/>
    <n v="284.44"/>
    <x v="0"/>
    <n v="0.17741130682101691"/>
  </r>
  <r>
    <s v="ORD0485"/>
    <x v="205"/>
    <x v="1"/>
    <s v="Rohan"/>
    <x v="1"/>
    <s v="Desk"/>
    <n v="13"/>
    <n v="11165.34"/>
    <n v="145149.42000000001"/>
    <n v="95345.59"/>
    <n v="49803.83"/>
    <x v="1"/>
    <n v="0.34312110926795297"/>
  </r>
  <r>
    <s v="ORD0486"/>
    <x v="252"/>
    <x v="0"/>
    <s v="Meera"/>
    <x v="1"/>
    <s v="Desk"/>
    <n v="18"/>
    <n v="11928.15"/>
    <n v="214706.7"/>
    <n v="140445.12"/>
    <n v="74261.58"/>
    <x v="1"/>
    <n v="0.34587453488875752"/>
  </r>
  <r>
    <s v="ORD0487"/>
    <x v="29"/>
    <x v="3"/>
    <s v="Aarav"/>
    <x v="1"/>
    <s v="Bookshelf"/>
    <n v="5"/>
    <n v="7869.94"/>
    <n v="39349.699999999997"/>
    <n v="27736.99"/>
    <n v="11612.71"/>
    <x v="2"/>
    <n v="0.29511559173259261"/>
  </r>
  <r>
    <s v="ORD0488"/>
    <x v="134"/>
    <x v="2"/>
    <s v="Imran"/>
    <x v="1"/>
    <s v="Bookshelf"/>
    <n v="7"/>
    <n v="7337.03"/>
    <n v="51359.21"/>
    <n v="40614.65"/>
    <n v="10744.56"/>
    <x v="0"/>
    <n v="0.20920415247820207"/>
  </r>
  <r>
    <s v="ORD0489"/>
    <x v="82"/>
    <x v="0"/>
    <s v="Rohan"/>
    <x v="0"/>
    <s v="Notebook"/>
    <n v="2"/>
    <n v="123.99"/>
    <n v="247.98"/>
    <n v="156.76"/>
    <n v="91.22"/>
    <x v="2"/>
    <n v="0.36785224614888301"/>
  </r>
  <r>
    <s v="ORD0490"/>
    <x v="180"/>
    <x v="3"/>
    <s v="Meera"/>
    <x v="1"/>
    <s v="Office Chair"/>
    <n v="17"/>
    <n v="6136.18"/>
    <n v="104315.06"/>
    <n v="85704.78"/>
    <n v="18610.28"/>
    <x v="1"/>
    <n v="0.17840453717804505"/>
  </r>
  <r>
    <s v="ORD0491"/>
    <x v="232"/>
    <x v="1"/>
    <s v="Ananya"/>
    <x v="0"/>
    <s v="Printer Paper"/>
    <n v="20"/>
    <n v="379.03"/>
    <n v="7580.6"/>
    <n v="5413.04"/>
    <n v="2167.56"/>
    <x v="1"/>
    <n v="0.28593515025195892"/>
  </r>
  <r>
    <s v="ORD0492"/>
    <x v="275"/>
    <x v="1"/>
    <s v="Ananya"/>
    <x v="3"/>
    <s v="USB Drive"/>
    <n v="1"/>
    <n v="554.58000000000004"/>
    <n v="554.58000000000004"/>
    <n v="402.41"/>
    <n v="152.16999999999999"/>
    <x v="1"/>
    <n v="0.27438782502073639"/>
  </r>
  <r>
    <s v="ORD0493"/>
    <x v="165"/>
    <x v="0"/>
    <s v="Kavya"/>
    <x v="1"/>
    <s v="Desk"/>
    <n v="9"/>
    <n v="10258.85"/>
    <n v="92329.65"/>
    <n v="77585.350000000006"/>
    <n v="14744.3"/>
    <x v="1"/>
    <n v="0.15969192994883008"/>
  </r>
  <r>
    <s v="ORD0494"/>
    <x v="223"/>
    <x v="2"/>
    <s v="Priya"/>
    <x v="2"/>
    <s v="Laptop"/>
    <n v="2"/>
    <n v="45629.56"/>
    <n v="91259.12"/>
    <n v="62030.35"/>
    <n v="29228.77"/>
    <x v="0"/>
    <n v="0.32028327689331215"/>
  </r>
  <r>
    <s v="ORD0495"/>
    <x v="133"/>
    <x v="0"/>
    <s v="Neha"/>
    <x v="1"/>
    <s v="Office Chair"/>
    <n v="16"/>
    <n v="6454.2"/>
    <n v="103267.2"/>
    <n v="80713.23"/>
    <n v="22553.97"/>
    <x v="2"/>
    <n v="0.21840400436924795"/>
  </r>
  <r>
    <s v="ORD0496"/>
    <x v="146"/>
    <x v="3"/>
    <s v="Aarav"/>
    <x v="1"/>
    <s v="Desk"/>
    <n v="3"/>
    <n v="11468.57"/>
    <n v="34405.71"/>
    <n v="28455.54"/>
    <n v="5950.17"/>
    <x v="0"/>
    <n v="0.17294135188606777"/>
  </r>
  <r>
    <s v="ORD0497"/>
    <x v="97"/>
    <x v="0"/>
    <s v="Imran"/>
    <x v="1"/>
    <s v="Office Chair"/>
    <n v="10"/>
    <n v="7106.84"/>
    <n v="71068.399999999994"/>
    <n v="55618.5"/>
    <n v="15449.9"/>
    <x v="0"/>
    <n v="0.21739479149664268"/>
  </r>
  <r>
    <s v="ORD0498"/>
    <x v="71"/>
    <x v="0"/>
    <s v="Neha"/>
    <x v="2"/>
    <s v="Monitor"/>
    <n v="20"/>
    <n v="11276.91"/>
    <n v="225538.2"/>
    <n v="189306.94"/>
    <n v="36231.26"/>
    <x v="0"/>
    <n v="0.1606435628199569"/>
  </r>
  <r>
    <s v="ORD0499"/>
    <x v="70"/>
    <x v="0"/>
    <s v="Imran"/>
    <x v="1"/>
    <s v="Bookshelf"/>
    <n v="20"/>
    <n v="7427.64"/>
    <n v="148552.79999999999"/>
    <n v="122800.18"/>
    <n v="25752.62"/>
    <x v="0"/>
    <n v="0.17335667856815895"/>
  </r>
  <r>
    <s v="ORD0500"/>
    <x v="205"/>
    <x v="0"/>
    <s v="Ananya"/>
    <x v="3"/>
    <s v="Headset"/>
    <n v="5"/>
    <n v="2429.77"/>
    <n v="12148.85"/>
    <n v="8664.49"/>
    <n v="3484.36"/>
    <x v="0"/>
    <n v="0.28680574704601669"/>
  </r>
  <r>
    <s v="ORD0501"/>
    <x v="236"/>
    <x v="3"/>
    <s v="Meera"/>
    <x v="1"/>
    <s v="Bookshelf"/>
    <n v="16"/>
    <n v="7756.21"/>
    <n v="124099.36"/>
    <n v="82182.62"/>
    <n v="41916.74"/>
    <x v="1"/>
    <n v="0.33776757591658813"/>
  </r>
  <r>
    <s v="ORD0502"/>
    <x v="30"/>
    <x v="3"/>
    <s v="Imran"/>
    <x v="3"/>
    <s v="Webcam"/>
    <n v="1"/>
    <n v="3178.76"/>
    <n v="3178.76"/>
    <n v="2469.79"/>
    <n v="708.97"/>
    <x v="2"/>
    <n v="0.22303350992210799"/>
  </r>
  <r>
    <s v="ORD0503"/>
    <x v="108"/>
    <x v="0"/>
    <s v="Ananya"/>
    <x v="2"/>
    <s v="Mouse"/>
    <n v="10"/>
    <n v="703.65"/>
    <n v="7036.5"/>
    <n v="5051.92"/>
    <n v="1984.58"/>
    <x v="2"/>
    <n v="0.28204078732324306"/>
  </r>
  <r>
    <s v="ORD0504"/>
    <x v="221"/>
    <x v="1"/>
    <s v="Rohan"/>
    <x v="1"/>
    <s v="Desk"/>
    <n v="19"/>
    <n v="10607.41"/>
    <n v="201540.79"/>
    <n v="141077.79999999999"/>
    <n v="60462.99"/>
    <x v="0"/>
    <n v="0.30000373621637583"/>
  </r>
  <r>
    <s v="ORD0505"/>
    <x v="276"/>
    <x v="0"/>
    <s v="Vikram"/>
    <x v="0"/>
    <s v="Pen Pack"/>
    <n v="7"/>
    <n v="232.47"/>
    <n v="1627.29"/>
    <n v="1034.6600000000001"/>
    <n v="592.63"/>
    <x v="1"/>
    <n v="0.3641821678987765"/>
  </r>
  <r>
    <s v="ORD0506"/>
    <x v="123"/>
    <x v="2"/>
    <s v="Rohan"/>
    <x v="2"/>
    <s v="Monitor"/>
    <n v="8"/>
    <n v="12397.32"/>
    <n v="99178.559999999998"/>
    <n v="72963.259999999995"/>
    <n v="26215.3"/>
    <x v="2"/>
    <n v="0.26432426524442382"/>
  </r>
  <r>
    <s v="ORD0507"/>
    <x v="270"/>
    <x v="2"/>
    <s v="Kavya"/>
    <x v="1"/>
    <s v="Bookshelf"/>
    <n v="11"/>
    <n v="7775.47"/>
    <n v="85530.17"/>
    <n v="58168.76"/>
    <n v="27361.41"/>
    <x v="2"/>
    <n v="0.31990360828231723"/>
  </r>
  <r>
    <s v="ORD0508"/>
    <x v="277"/>
    <x v="2"/>
    <s v="Rahul"/>
    <x v="3"/>
    <s v="Headset"/>
    <n v="5"/>
    <n v="2147.54"/>
    <n v="10737.7"/>
    <n v="7368.16"/>
    <n v="3369.54"/>
    <x v="0"/>
    <n v="0.31380463227693078"/>
  </r>
  <r>
    <s v="ORD0509"/>
    <x v="106"/>
    <x v="0"/>
    <s v="Aarav"/>
    <x v="1"/>
    <s v="Desk"/>
    <n v="14"/>
    <n v="12033.17"/>
    <n v="168464.38"/>
    <n v="115244.63"/>
    <n v="53219.75"/>
    <x v="0"/>
    <n v="0.31591099554695179"/>
  </r>
  <r>
    <s v="ORD0510"/>
    <x v="278"/>
    <x v="3"/>
    <s v="Ananya"/>
    <x v="0"/>
    <s v="Notebook"/>
    <n v="9"/>
    <n v="128.24"/>
    <n v="1154.1600000000001"/>
    <n v="717.58"/>
    <n v="436.58"/>
    <x v="0"/>
    <n v="0.37826644486033129"/>
  </r>
  <r>
    <s v="ORD0511"/>
    <x v="217"/>
    <x v="2"/>
    <s v="Imran"/>
    <x v="1"/>
    <s v="Bookshelf"/>
    <n v="20"/>
    <n v="8103.21"/>
    <n v="162064.20000000001"/>
    <n v="134346.29"/>
    <n v="27717.91"/>
    <x v="0"/>
    <n v="0.17103043115012445"/>
  </r>
  <r>
    <s v="ORD0512"/>
    <x v="279"/>
    <x v="0"/>
    <s v="Meera"/>
    <x v="1"/>
    <s v="Bookshelf"/>
    <n v="15"/>
    <n v="8758.4"/>
    <n v="131376"/>
    <n v="109162.03"/>
    <n v="22213.97"/>
    <x v="1"/>
    <n v="0.16908697174521983"/>
  </r>
  <r>
    <s v="ORD0513"/>
    <x v="280"/>
    <x v="3"/>
    <s v="Imran"/>
    <x v="1"/>
    <s v="Desk"/>
    <n v="3"/>
    <n v="10220.1"/>
    <n v="30660.3"/>
    <n v="20037.52"/>
    <n v="10622.78"/>
    <x v="0"/>
    <n v="0.34646692954732994"/>
  </r>
  <r>
    <s v="ORD0514"/>
    <x v="41"/>
    <x v="2"/>
    <s v="Neha"/>
    <x v="2"/>
    <s v="Monitor"/>
    <n v="1"/>
    <n v="11602.4"/>
    <n v="11602.4"/>
    <n v="9251.25"/>
    <n v="2351.15"/>
    <x v="2"/>
    <n v="0.20264341860304766"/>
  </r>
  <r>
    <s v="ORD0515"/>
    <x v="129"/>
    <x v="2"/>
    <s v="Kavya"/>
    <x v="3"/>
    <s v="USB Drive"/>
    <n v="19"/>
    <n v="629.25"/>
    <n v="11955.75"/>
    <n v="9603.01"/>
    <n v="2352.7399999999998"/>
    <x v="2"/>
    <n v="0.19678731990883047"/>
  </r>
  <r>
    <s v="ORD0516"/>
    <x v="281"/>
    <x v="0"/>
    <s v="Ananya"/>
    <x v="3"/>
    <s v="Headset"/>
    <n v="2"/>
    <n v="2106.13"/>
    <n v="4212.26"/>
    <n v="3276.6"/>
    <n v="935.66"/>
    <x v="2"/>
    <n v="0.22212778888292745"/>
  </r>
  <r>
    <s v="ORD0517"/>
    <x v="282"/>
    <x v="3"/>
    <s v="Priya"/>
    <x v="2"/>
    <s v="Laptop"/>
    <n v="13"/>
    <n v="43631.75"/>
    <n v="567212.75"/>
    <n v="479436.78"/>
    <n v="87775.97"/>
    <x v="0"/>
    <n v="0.15474964199940852"/>
  </r>
  <r>
    <s v="ORD0518"/>
    <x v="283"/>
    <x v="2"/>
    <s v="Meera"/>
    <x v="0"/>
    <s v="Pen Pack"/>
    <n v="10"/>
    <n v="255.89"/>
    <n v="2558.9"/>
    <n v="1912.34"/>
    <n v="646.55999999999995"/>
    <x v="2"/>
    <n v="0.25267106960021879"/>
  </r>
  <r>
    <s v="ORD0519"/>
    <x v="19"/>
    <x v="1"/>
    <s v="Rohan"/>
    <x v="3"/>
    <s v="Webcam"/>
    <n v="19"/>
    <n v="3341.63"/>
    <n v="63490.97"/>
    <n v="53601.58"/>
    <n v="9889.39"/>
    <x v="1"/>
    <n v="0.15576057508650443"/>
  </r>
  <r>
    <s v="ORD0520"/>
    <x v="281"/>
    <x v="2"/>
    <s v="Meera"/>
    <x v="0"/>
    <s v="Printer Paper"/>
    <n v="1"/>
    <n v="376.24"/>
    <n v="376.24"/>
    <n v="266.99"/>
    <n v="109.25"/>
    <x v="2"/>
    <n v="0.29037316606421432"/>
  </r>
  <r>
    <s v="ORD0521"/>
    <x v="193"/>
    <x v="1"/>
    <s v="Kavya"/>
    <x v="0"/>
    <s v="Notebook"/>
    <n v="5"/>
    <n v="110.03"/>
    <n v="550.15"/>
    <n v="385.52"/>
    <n v="164.63"/>
    <x v="1"/>
    <n v="0.29924566027447058"/>
  </r>
  <r>
    <s v="ORD0522"/>
    <x v="221"/>
    <x v="0"/>
    <s v="Ananya"/>
    <x v="2"/>
    <s v="Mouse"/>
    <n v="8"/>
    <n v="774.5"/>
    <n v="6196"/>
    <n v="3919.69"/>
    <n v="2276.31"/>
    <x v="1"/>
    <n v="0.36738379599741766"/>
  </r>
  <r>
    <s v="ORD0523"/>
    <x v="83"/>
    <x v="3"/>
    <s v="Ananya"/>
    <x v="2"/>
    <s v="Laptop"/>
    <n v="10"/>
    <n v="45608.9"/>
    <n v="456089"/>
    <n v="310602.37"/>
    <n v="145486.63"/>
    <x v="2"/>
    <n v="0.318987368693391"/>
  </r>
  <r>
    <s v="ORD0524"/>
    <x v="207"/>
    <x v="2"/>
    <s v="Rahul"/>
    <x v="1"/>
    <s v="Office Chair"/>
    <n v="2"/>
    <n v="6564.92"/>
    <n v="13129.84"/>
    <n v="9079.39"/>
    <n v="4050.45"/>
    <x v="2"/>
    <n v="0.30849195420507786"/>
  </r>
  <r>
    <s v="ORD0525"/>
    <x v="50"/>
    <x v="0"/>
    <s v="Rahul"/>
    <x v="1"/>
    <s v="Bookshelf"/>
    <n v="18"/>
    <n v="8330.91"/>
    <n v="149956.38"/>
    <n v="111483.37"/>
    <n v="38473.01"/>
    <x v="2"/>
    <n v="0.25656134137140413"/>
  </r>
  <r>
    <s v="ORD0526"/>
    <x v="284"/>
    <x v="2"/>
    <s v="Rahul"/>
    <x v="2"/>
    <s v="Mouse"/>
    <n v="3"/>
    <n v="756.97"/>
    <n v="2270.91"/>
    <n v="1938.92"/>
    <n v="331.99"/>
    <x v="1"/>
    <n v="0.14619249551941735"/>
  </r>
  <r>
    <s v="ORD0527"/>
    <x v="60"/>
    <x v="2"/>
    <s v="Rohan"/>
    <x v="2"/>
    <s v="Laptop"/>
    <n v="17"/>
    <n v="45847.91"/>
    <n v="779414.47"/>
    <n v="587640.84"/>
    <n v="191773.63"/>
    <x v="0"/>
    <n v="0.24604833164054551"/>
  </r>
  <r>
    <s v="ORD0528"/>
    <x v="36"/>
    <x v="1"/>
    <s v="Meera"/>
    <x v="3"/>
    <s v="USB Drive"/>
    <n v="9"/>
    <n v="622.73"/>
    <n v="5604.57"/>
    <n v="4007.81"/>
    <n v="1596.76"/>
    <x v="0"/>
    <n v="0.28490321291374721"/>
  </r>
  <r>
    <s v="ORD0529"/>
    <x v="232"/>
    <x v="3"/>
    <s v="Vikram"/>
    <x v="0"/>
    <s v="Pen Pack"/>
    <n v="20"/>
    <n v="249.27"/>
    <n v="4985.3999999999996"/>
    <n v="3300.06"/>
    <n v="1685.34"/>
    <x v="0"/>
    <n v="0.3380551209531833"/>
  </r>
  <r>
    <s v="ORD0530"/>
    <x v="175"/>
    <x v="3"/>
    <s v="Meera"/>
    <x v="0"/>
    <s v="Notebook"/>
    <n v="7"/>
    <n v="110.35"/>
    <n v="772.45"/>
    <n v="620.82000000000005"/>
    <n v="151.63"/>
    <x v="1"/>
    <n v="0.19629749498349405"/>
  </r>
  <r>
    <s v="ORD0531"/>
    <x v="285"/>
    <x v="1"/>
    <s v="Kavya"/>
    <x v="3"/>
    <s v="USB Drive"/>
    <n v="6"/>
    <n v="541.26"/>
    <n v="3247.56"/>
    <n v="2698.76"/>
    <n v="548.79999999999995"/>
    <x v="0"/>
    <n v="0.16898840975994284"/>
  </r>
  <r>
    <s v="ORD0532"/>
    <x v="119"/>
    <x v="1"/>
    <s v="Aarav"/>
    <x v="1"/>
    <s v="Desk"/>
    <n v="11"/>
    <n v="10700.01"/>
    <n v="117700.11"/>
    <n v="92915.839999999997"/>
    <n v="24784.27"/>
    <x v="1"/>
    <n v="0.2105713410123406"/>
  </r>
  <r>
    <s v="ORD0533"/>
    <x v="52"/>
    <x v="3"/>
    <s v="Rohan"/>
    <x v="0"/>
    <s v="Pen Pack"/>
    <n v="16"/>
    <n v="261.73"/>
    <n v="4187.68"/>
    <n v="3220.62"/>
    <n v="967.06"/>
    <x v="2"/>
    <n v="0.23092977495892711"/>
  </r>
  <r>
    <s v="ORD0534"/>
    <x v="127"/>
    <x v="0"/>
    <s v="Aarav"/>
    <x v="3"/>
    <s v="Headset"/>
    <n v="3"/>
    <n v="2212.02"/>
    <n v="6636.06"/>
    <n v="5152.2"/>
    <n v="1483.86"/>
    <x v="0"/>
    <n v="0.22360557318649918"/>
  </r>
  <r>
    <s v="ORD0535"/>
    <x v="183"/>
    <x v="1"/>
    <s v="Aarav"/>
    <x v="0"/>
    <s v="Pen Pack"/>
    <n v="13"/>
    <n v="266.95"/>
    <n v="3470.35"/>
    <n v="2876.22"/>
    <n v="594.13"/>
    <x v="1"/>
    <n v="0.17120175198467014"/>
  </r>
  <r>
    <s v="ORD0536"/>
    <x v="286"/>
    <x v="2"/>
    <s v="Meera"/>
    <x v="3"/>
    <s v="Headset"/>
    <n v="1"/>
    <n v="2039.01"/>
    <n v="2039.01"/>
    <n v="1368.78"/>
    <n v="670.23"/>
    <x v="1"/>
    <n v="0.32870363558785881"/>
  </r>
  <r>
    <s v="ORD0537"/>
    <x v="209"/>
    <x v="0"/>
    <s v="Aarav"/>
    <x v="0"/>
    <s v="Notebook"/>
    <n v="17"/>
    <n v="122.27"/>
    <n v="2078.59"/>
    <n v="1574.39"/>
    <n v="504.2"/>
    <x v="1"/>
    <n v="0.24256827945867149"/>
  </r>
  <r>
    <s v="ORD0538"/>
    <x v="117"/>
    <x v="1"/>
    <s v="Ananya"/>
    <x v="2"/>
    <s v="Keyboard"/>
    <n v="2"/>
    <n v="1477.2"/>
    <n v="2954.4"/>
    <n v="2261.13"/>
    <n v="693.27"/>
    <x v="1"/>
    <n v="0.23465678310316815"/>
  </r>
  <r>
    <s v="ORD0539"/>
    <x v="187"/>
    <x v="3"/>
    <s v="Aarav"/>
    <x v="1"/>
    <s v="Desk"/>
    <n v="8"/>
    <n v="11389.18"/>
    <n v="91113.44"/>
    <n v="57877.43"/>
    <n v="33236.01"/>
    <x v="1"/>
    <n v="0.36477615157544269"/>
  </r>
  <r>
    <s v="ORD0540"/>
    <x v="26"/>
    <x v="1"/>
    <s v="Neha"/>
    <x v="0"/>
    <s v="Printer Paper"/>
    <n v="16"/>
    <n v="377.41"/>
    <n v="6038.56"/>
    <n v="4608.04"/>
    <n v="1430.52"/>
    <x v="0"/>
    <n v="0.23689753848599665"/>
  </r>
  <r>
    <s v="ORD0541"/>
    <x v="101"/>
    <x v="0"/>
    <s v="Imran"/>
    <x v="1"/>
    <s v="Desk"/>
    <n v="12"/>
    <n v="11706.25"/>
    <n v="140475"/>
    <n v="113116.79"/>
    <n v="27358.21"/>
    <x v="1"/>
    <n v="0.19475500978821852"/>
  </r>
  <r>
    <s v="ORD0542"/>
    <x v="20"/>
    <x v="0"/>
    <s v="Ananya"/>
    <x v="1"/>
    <s v="Bookshelf"/>
    <n v="5"/>
    <n v="8278"/>
    <n v="41390"/>
    <n v="26670.240000000002"/>
    <n v="14719.76"/>
    <x v="0"/>
    <n v="0.35563566078762987"/>
  </r>
  <r>
    <s v="ORD0543"/>
    <x v="39"/>
    <x v="0"/>
    <s v="Rohan"/>
    <x v="0"/>
    <s v="Notebook"/>
    <n v="1"/>
    <n v="121.03"/>
    <n v="121.03"/>
    <n v="104.08"/>
    <n v="16.95"/>
    <x v="1"/>
    <n v="0.14004792200280922"/>
  </r>
  <r>
    <s v="ORD0544"/>
    <x v="257"/>
    <x v="3"/>
    <s v="Neha"/>
    <x v="3"/>
    <s v="USB Drive"/>
    <n v="15"/>
    <n v="656.3"/>
    <n v="9844.5"/>
    <n v="7968.09"/>
    <n v="1876.41"/>
    <x v="0"/>
    <n v="0.1906049062928539"/>
  </r>
  <r>
    <s v="ORD0545"/>
    <x v="109"/>
    <x v="2"/>
    <s v="Aarav"/>
    <x v="1"/>
    <s v="Desk"/>
    <n v="19"/>
    <n v="10645.09"/>
    <n v="202256.71"/>
    <n v="155791.85999999999"/>
    <n v="46464.85"/>
    <x v="1"/>
    <n v="0.22973205684993098"/>
  </r>
  <r>
    <s v="ORD0546"/>
    <x v="287"/>
    <x v="2"/>
    <s v="Kavya"/>
    <x v="2"/>
    <s v="Laptop"/>
    <n v="7"/>
    <n v="44569.68"/>
    <n v="311987.76"/>
    <n v="256829.94"/>
    <n v="55157.82"/>
    <x v="2"/>
    <n v="0.17679482041218539"/>
  </r>
  <r>
    <s v="ORD0547"/>
    <x v="273"/>
    <x v="0"/>
    <s v="Vikram"/>
    <x v="3"/>
    <s v="Webcam"/>
    <n v="18"/>
    <n v="3054.3"/>
    <n v="54977.4"/>
    <n v="37073.82"/>
    <n v="17903.580000000002"/>
    <x v="2"/>
    <n v="0.3256534503268616"/>
  </r>
  <r>
    <s v="ORD0548"/>
    <x v="227"/>
    <x v="2"/>
    <s v="Imran"/>
    <x v="3"/>
    <s v="USB Drive"/>
    <n v="7"/>
    <n v="653.5"/>
    <n v="4574.5"/>
    <n v="3568.54"/>
    <n v="1005.96"/>
    <x v="2"/>
    <n v="0.2199060006558094"/>
  </r>
  <r>
    <s v="ORD0549"/>
    <x v="270"/>
    <x v="0"/>
    <s v="Kavya"/>
    <x v="1"/>
    <s v="Bookshelf"/>
    <n v="18"/>
    <n v="8470.94"/>
    <n v="152476.92000000001"/>
    <n v="97166.61"/>
    <n v="55310.31"/>
    <x v="0"/>
    <n v="0.36274545682061254"/>
  </r>
  <r>
    <s v="ORD0550"/>
    <x v="123"/>
    <x v="3"/>
    <s v="Priya"/>
    <x v="3"/>
    <s v="Headset"/>
    <n v="14"/>
    <n v="2289.1799999999998"/>
    <n v="32048.52"/>
    <n v="27352.11"/>
    <n v="4696.41"/>
    <x v="0"/>
    <n v="0.14654062028449363"/>
  </r>
  <r>
    <s v="ORD0551"/>
    <x v="132"/>
    <x v="0"/>
    <s v="Priya"/>
    <x v="0"/>
    <s v="Pen Pack"/>
    <n v="16"/>
    <n v="259.39"/>
    <n v="4150.24"/>
    <n v="3198.65"/>
    <n v="951.59"/>
    <x v="1"/>
    <n v="0.22928553529434445"/>
  </r>
  <r>
    <s v="ORD0552"/>
    <x v="3"/>
    <x v="3"/>
    <s v="Kavya"/>
    <x v="3"/>
    <s v="USB Drive"/>
    <n v="15"/>
    <n v="622.37"/>
    <n v="9335.5499999999993"/>
    <n v="7499.38"/>
    <n v="1836.17"/>
    <x v="0"/>
    <n v="0.1966857871255577"/>
  </r>
  <r>
    <s v="ORD0553"/>
    <x v="52"/>
    <x v="2"/>
    <s v="Aarav"/>
    <x v="1"/>
    <s v="Bookshelf"/>
    <n v="19"/>
    <n v="8517.69"/>
    <n v="161836.10999999999"/>
    <n v="129931.61"/>
    <n v="31904.5"/>
    <x v="1"/>
    <n v="0.19714079879947685"/>
  </r>
  <r>
    <s v="ORD0554"/>
    <x v="248"/>
    <x v="2"/>
    <s v="Aarav"/>
    <x v="1"/>
    <s v="Bookshelf"/>
    <n v="9"/>
    <n v="7800.49"/>
    <n v="70204.41"/>
    <n v="60208.37"/>
    <n v="9996.0400000000009"/>
    <x v="1"/>
    <n v="0.14238478750836309"/>
  </r>
  <r>
    <s v="ORD0555"/>
    <x v="288"/>
    <x v="1"/>
    <s v="Neha"/>
    <x v="3"/>
    <s v="Webcam"/>
    <n v="8"/>
    <n v="2915.93"/>
    <n v="23327.439999999999"/>
    <n v="15685.72"/>
    <n v="7641.72"/>
    <x v="2"/>
    <n v="0.32758502433185988"/>
  </r>
  <r>
    <s v="ORD0556"/>
    <x v="28"/>
    <x v="2"/>
    <s v="Neha"/>
    <x v="1"/>
    <s v="Desk"/>
    <n v="12"/>
    <n v="11452.32"/>
    <n v="137427.84"/>
    <n v="114850.74"/>
    <n v="22577.1"/>
    <x v="1"/>
    <n v="0.16428330678849351"/>
  </r>
  <r>
    <s v="ORD0557"/>
    <x v="238"/>
    <x v="0"/>
    <s v="Kavya"/>
    <x v="3"/>
    <s v="USB Drive"/>
    <n v="4"/>
    <n v="615.41"/>
    <n v="2461.64"/>
    <n v="2113.8000000000002"/>
    <n v="347.84"/>
    <x v="0"/>
    <n v="0.14130417120293787"/>
  </r>
  <r>
    <s v="ORD0558"/>
    <x v="10"/>
    <x v="0"/>
    <s v="Rahul"/>
    <x v="2"/>
    <s v="Laptop"/>
    <n v="12"/>
    <n v="49675.47"/>
    <n v="596105.64"/>
    <n v="479365.18"/>
    <n v="116740.46"/>
    <x v="0"/>
    <n v="0.19583854298040193"/>
  </r>
  <r>
    <s v="ORD0559"/>
    <x v="214"/>
    <x v="2"/>
    <s v="Aarav"/>
    <x v="2"/>
    <s v="Keyboard"/>
    <n v="2"/>
    <n v="1571.33"/>
    <n v="3142.66"/>
    <n v="2255.54"/>
    <n v="887.12"/>
    <x v="2"/>
    <n v="0.28228316139830589"/>
  </r>
  <r>
    <s v="ORD0560"/>
    <x v="228"/>
    <x v="3"/>
    <s v="Neha"/>
    <x v="0"/>
    <s v="Printer Paper"/>
    <n v="15"/>
    <n v="343.8"/>
    <n v="5157"/>
    <n v="3402.31"/>
    <n v="1754.69"/>
    <x v="0"/>
    <n v="0.34025402365716501"/>
  </r>
  <r>
    <s v="ORD0561"/>
    <x v="154"/>
    <x v="2"/>
    <s v="Priya"/>
    <x v="0"/>
    <s v="Notebook"/>
    <n v="8"/>
    <n v="116.74"/>
    <n v="933.92"/>
    <n v="595.12"/>
    <n v="338.8"/>
    <x v="1"/>
    <n v="0.36277197190337507"/>
  </r>
  <r>
    <s v="ORD0562"/>
    <x v="127"/>
    <x v="0"/>
    <s v="Imran"/>
    <x v="2"/>
    <s v="Mouse"/>
    <n v="6"/>
    <n v="655"/>
    <n v="3930"/>
    <n v="3178.8"/>
    <n v="751.2"/>
    <x v="1"/>
    <n v="0.19114503816793893"/>
  </r>
  <r>
    <s v="ORD0563"/>
    <x v="95"/>
    <x v="0"/>
    <s v="Meera"/>
    <x v="3"/>
    <s v="USB Drive"/>
    <n v="1"/>
    <n v="575.30999999999995"/>
    <n v="575.30999999999995"/>
    <n v="402.17"/>
    <n v="173.14"/>
    <x v="0"/>
    <n v="0.30095079174705813"/>
  </r>
  <r>
    <s v="ORD0564"/>
    <x v="265"/>
    <x v="3"/>
    <s v="Vikram"/>
    <x v="0"/>
    <s v="Pen Pack"/>
    <n v="10"/>
    <n v="239.12"/>
    <n v="2391.1999999999998"/>
    <n v="1507.99"/>
    <n v="883.21"/>
    <x v="2"/>
    <n v="0.36935848109735703"/>
  </r>
  <r>
    <s v="ORD0565"/>
    <x v="155"/>
    <x v="0"/>
    <s v="Ananya"/>
    <x v="0"/>
    <s v="Pen Pack"/>
    <n v="6"/>
    <n v="256.79000000000002"/>
    <n v="1540.74"/>
    <n v="1236.8"/>
    <n v="303.94"/>
    <x v="0"/>
    <n v="0.1972688448407908"/>
  </r>
  <r>
    <s v="ORD0566"/>
    <x v="289"/>
    <x v="3"/>
    <s v="Rohan"/>
    <x v="3"/>
    <s v="Headset"/>
    <n v="15"/>
    <n v="2217.9899999999998"/>
    <n v="33269.85"/>
    <n v="27768.21"/>
    <n v="5501.64"/>
    <x v="2"/>
    <n v="0.16536413599700631"/>
  </r>
  <r>
    <s v="ORD0567"/>
    <x v="49"/>
    <x v="1"/>
    <s v="Rahul"/>
    <x v="1"/>
    <s v="Bookshelf"/>
    <n v="16"/>
    <n v="8075.22"/>
    <n v="129203.52"/>
    <n v="102056.43"/>
    <n v="27147.09"/>
    <x v="0"/>
    <n v="0.21011107127731504"/>
  </r>
  <r>
    <s v="ORD0568"/>
    <x v="39"/>
    <x v="1"/>
    <s v="Vikram"/>
    <x v="3"/>
    <s v="USB Drive"/>
    <n v="17"/>
    <n v="574.52"/>
    <n v="9766.84"/>
    <n v="8359.82"/>
    <n v="1407.02"/>
    <x v="1"/>
    <n v="0.1440609245160154"/>
  </r>
  <r>
    <s v="ORD0569"/>
    <x v="52"/>
    <x v="1"/>
    <s v="Rahul"/>
    <x v="1"/>
    <s v="Bookshelf"/>
    <n v="6"/>
    <n v="8854.6299999999992"/>
    <n v="53127.78"/>
    <n v="42378.67"/>
    <n v="10749.11"/>
    <x v="0"/>
    <n v="0.20232560065562688"/>
  </r>
  <r>
    <s v="ORD0570"/>
    <x v="158"/>
    <x v="2"/>
    <s v="Kavya"/>
    <x v="2"/>
    <s v="Monitor"/>
    <n v="5"/>
    <n v="10885.65"/>
    <n v="54428.25"/>
    <n v="46167.25"/>
    <n v="8261"/>
    <x v="2"/>
    <n v="0.15177779921272502"/>
  </r>
  <r>
    <s v="ORD0571"/>
    <x v="263"/>
    <x v="2"/>
    <s v="Aarav"/>
    <x v="3"/>
    <s v="Headset"/>
    <n v="2"/>
    <n v="2025.32"/>
    <n v="4050.64"/>
    <n v="3326.42"/>
    <n v="724.22"/>
    <x v="0"/>
    <n v="0.1787914996148757"/>
  </r>
  <r>
    <s v="ORD0572"/>
    <x v="238"/>
    <x v="1"/>
    <s v="Imran"/>
    <x v="1"/>
    <s v="Desk"/>
    <n v="13"/>
    <n v="10135.23"/>
    <n v="131757.99"/>
    <n v="99213.47"/>
    <n v="32544.52"/>
    <x v="0"/>
    <n v="0.24700225011022103"/>
  </r>
  <r>
    <s v="ORD0573"/>
    <x v="107"/>
    <x v="2"/>
    <s v="Rohan"/>
    <x v="3"/>
    <s v="Headset"/>
    <n v="12"/>
    <n v="2428.8200000000002"/>
    <n v="29145.84"/>
    <n v="22770.54"/>
    <n v="6375.3"/>
    <x v="2"/>
    <n v="0.21873790564965703"/>
  </r>
  <r>
    <s v="ORD0574"/>
    <x v="78"/>
    <x v="1"/>
    <s v="Meera"/>
    <x v="3"/>
    <s v="Webcam"/>
    <n v="16"/>
    <n v="3043.81"/>
    <n v="48700.959999999999"/>
    <n v="41396.19"/>
    <n v="7304.77"/>
    <x v="1"/>
    <n v="0.14999232047992483"/>
  </r>
  <r>
    <s v="ORD0575"/>
    <x v="268"/>
    <x v="3"/>
    <s v="Neha"/>
    <x v="1"/>
    <s v="Office Chair"/>
    <n v="15"/>
    <n v="7165.55"/>
    <n v="107483.25"/>
    <n v="85701.5"/>
    <n v="21781.75"/>
    <x v="0"/>
    <n v="0.2026525063207523"/>
  </r>
  <r>
    <s v="ORD0576"/>
    <x v="48"/>
    <x v="3"/>
    <s v="Rohan"/>
    <x v="3"/>
    <s v="USB Drive"/>
    <n v="19"/>
    <n v="617.29"/>
    <n v="11728.51"/>
    <n v="9480.08"/>
    <n v="2248.4299999999998"/>
    <x v="1"/>
    <n v="0.19170636338290198"/>
  </r>
  <r>
    <s v="ORD0577"/>
    <x v="186"/>
    <x v="0"/>
    <s v="Aarav"/>
    <x v="2"/>
    <s v="Keyboard"/>
    <n v="19"/>
    <n v="1604.8"/>
    <n v="30491.200000000001"/>
    <n v="22991.73"/>
    <n v="7499.47"/>
    <x v="1"/>
    <n v="0.24595522642598522"/>
  </r>
  <r>
    <s v="ORD0578"/>
    <x v="169"/>
    <x v="3"/>
    <s v="Vikram"/>
    <x v="0"/>
    <s v="Printer Paper"/>
    <n v="19"/>
    <n v="321.39999999999998"/>
    <n v="6106.6"/>
    <n v="3904.94"/>
    <n v="2201.66"/>
    <x v="2"/>
    <n v="0.36053777879671173"/>
  </r>
  <r>
    <s v="ORD0579"/>
    <x v="150"/>
    <x v="2"/>
    <s v="Kavya"/>
    <x v="2"/>
    <s v="Laptop"/>
    <n v="20"/>
    <n v="49023.9"/>
    <n v="980478"/>
    <n v="761473.95"/>
    <n v="219004.05"/>
    <x v="0"/>
    <n v="0.22336457319797076"/>
  </r>
  <r>
    <s v="ORD0580"/>
    <x v="290"/>
    <x v="2"/>
    <s v="Rohan"/>
    <x v="0"/>
    <s v="Printer Paper"/>
    <n v="6"/>
    <n v="326.37"/>
    <n v="1958.22"/>
    <n v="1307.6600000000001"/>
    <n v="650.55999999999995"/>
    <x v="1"/>
    <n v="0.33222007741724624"/>
  </r>
  <r>
    <s v="ORD0581"/>
    <x v="173"/>
    <x v="0"/>
    <s v="Vikram"/>
    <x v="2"/>
    <s v="Mouse"/>
    <n v="3"/>
    <n v="746.87"/>
    <n v="2240.61"/>
    <n v="1786.68"/>
    <n v="453.93"/>
    <x v="2"/>
    <n v="0.20259215124452715"/>
  </r>
  <r>
    <s v="ORD0582"/>
    <x v="101"/>
    <x v="2"/>
    <s v="Rahul"/>
    <x v="0"/>
    <s v="Pen Pack"/>
    <n v="12"/>
    <n v="257.92"/>
    <n v="3095.04"/>
    <n v="2658.57"/>
    <n v="436.47"/>
    <x v="0"/>
    <n v="0.14102241004962779"/>
  </r>
  <r>
    <s v="ORD0583"/>
    <x v="253"/>
    <x v="2"/>
    <s v="Neha"/>
    <x v="3"/>
    <s v="Webcam"/>
    <n v="3"/>
    <n v="3496.05"/>
    <n v="10488.15"/>
    <n v="8063.18"/>
    <n v="2424.9699999999998"/>
    <x v="0"/>
    <n v="0.23121046133016784"/>
  </r>
  <r>
    <s v="ORD0584"/>
    <x v="180"/>
    <x v="1"/>
    <s v="Aarav"/>
    <x v="1"/>
    <s v="Office Chair"/>
    <n v="3"/>
    <n v="7063.92"/>
    <n v="21191.759999999998"/>
    <n v="16317.44"/>
    <n v="4874.32"/>
    <x v="0"/>
    <n v="0.23001015489039137"/>
  </r>
  <r>
    <s v="ORD0585"/>
    <x v="69"/>
    <x v="1"/>
    <s v="Priya"/>
    <x v="0"/>
    <s v="Notebook"/>
    <n v="15"/>
    <n v="117.37"/>
    <n v="1760.55"/>
    <n v="1118.8800000000001"/>
    <n v="641.66999999999996"/>
    <x v="1"/>
    <n v="0.36447132998210785"/>
  </r>
  <r>
    <s v="ORD0586"/>
    <x v="254"/>
    <x v="1"/>
    <s v="Vikram"/>
    <x v="3"/>
    <s v="Webcam"/>
    <n v="7"/>
    <n v="2998.51"/>
    <n v="20989.57"/>
    <n v="14327.24"/>
    <n v="6662.33"/>
    <x v="1"/>
    <n v="0.31741145721422592"/>
  </r>
  <r>
    <s v="ORD0587"/>
    <x v="214"/>
    <x v="3"/>
    <s v="Neha"/>
    <x v="0"/>
    <s v="Printer Paper"/>
    <n v="2"/>
    <n v="362.17"/>
    <n v="724.34"/>
    <n v="558.82000000000005"/>
    <n v="165.52"/>
    <x v="1"/>
    <n v="0.22851147251290832"/>
  </r>
  <r>
    <s v="ORD0588"/>
    <x v="208"/>
    <x v="0"/>
    <s v="Aarav"/>
    <x v="3"/>
    <s v="Headset"/>
    <n v="18"/>
    <n v="2177.61"/>
    <n v="39196.980000000003"/>
    <n v="30830"/>
    <n v="8366.98"/>
    <x v="2"/>
    <n v="0.21345981246514398"/>
  </r>
  <r>
    <s v="ORD0589"/>
    <x v="273"/>
    <x v="2"/>
    <s v="Ananya"/>
    <x v="1"/>
    <s v="Office Chair"/>
    <n v="17"/>
    <n v="6786.75"/>
    <n v="115374.75"/>
    <n v="80914.81"/>
    <n v="34459.94"/>
    <x v="1"/>
    <n v="0.29867835033228679"/>
  </r>
  <r>
    <s v="ORD0590"/>
    <x v="205"/>
    <x v="0"/>
    <s v="Rahul"/>
    <x v="3"/>
    <s v="Headset"/>
    <n v="7"/>
    <n v="2264.5100000000002"/>
    <n v="15851.57"/>
    <n v="11692.46"/>
    <n v="4159.1099999999997"/>
    <x v="1"/>
    <n v="0.26237842686875812"/>
  </r>
  <r>
    <s v="ORD0591"/>
    <x v="70"/>
    <x v="3"/>
    <s v="Rohan"/>
    <x v="0"/>
    <s v="Pen Pack"/>
    <n v="8"/>
    <n v="229.22"/>
    <n v="1833.76"/>
    <n v="1444.4"/>
    <n v="389.36"/>
    <x v="2"/>
    <n v="0.21232876712328769"/>
  </r>
  <r>
    <s v="ORD0592"/>
    <x v="7"/>
    <x v="3"/>
    <s v="Imran"/>
    <x v="0"/>
    <s v="Notebook"/>
    <n v="2"/>
    <n v="116.18"/>
    <n v="232.36"/>
    <n v="186.64"/>
    <n v="45.72"/>
    <x v="2"/>
    <n v="0.19676364262351523"/>
  </r>
  <r>
    <s v="ORD0593"/>
    <x v="202"/>
    <x v="2"/>
    <s v="Kavya"/>
    <x v="0"/>
    <s v="Pen Pack"/>
    <n v="16"/>
    <n v="259.32"/>
    <n v="4149.12"/>
    <n v="2683.92"/>
    <n v="1465.2"/>
    <x v="1"/>
    <n v="0.35313512262841279"/>
  </r>
  <r>
    <s v="ORD0594"/>
    <x v="39"/>
    <x v="0"/>
    <s v="Rahul"/>
    <x v="0"/>
    <s v="Notebook"/>
    <n v="8"/>
    <n v="108.92"/>
    <n v="871.36"/>
    <n v="571.54999999999995"/>
    <n v="299.81"/>
    <x v="1"/>
    <n v="0.34407133676092544"/>
  </r>
  <r>
    <s v="ORD0595"/>
    <x v="236"/>
    <x v="2"/>
    <s v="Rohan"/>
    <x v="1"/>
    <s v="Office Chair"/>
    <n v="12"/>
    <n v="6698.87"/>
    <n v="80386.44"/>
    <n v="53398.45"/>
    <n v="26987.99"/>
    <x v="1"/>
    <n v="0.3357281402186737"/>
  </r>
  <r>
    <s v="ORD0596"/>
    <x v="57"/>
    <x v="1"/>
    <s v="Rohan"/>
    <x v="0"/>
    <s v="Printer Paper"/>
    <n v="16"/>
    <n v="336.76"/>
    <n v="5388.16"/>
    <n v="4241.8900000000003"/>
    <n v="1146.27"/>
    <x v="2"/>
    <n v="0.21273867145741776"/>
  </r>
  <r>
    <s v="ORD0597"/>
    <x v="291"/>
    <x v="2"/>
    <s v="Rohan"/>
    <x v="2"/>
    <s v="Monitor"/>
    <n v="20"/>
    <n v="11793.71"/>
    <n v="235874.2"/>
    <n v="193521.66"/>
    <n v="42352.54"/>
    <x v="2"/>
    <n v="0.17955562753365989"/>
  </r>
  <r>
    <s v="ORD0598"/>
    <x v="127"/>
    <x v="2"/>
    <s v="Kavya"/>
    <x v="2"/>
    <s v="Monitor"/>
    <n v="9"/>
    <n v="13397.58"/>
    <n v="120578.22"/>
    <n v="82257.279999999999"/>
    <n v="38320.94"/>
    <x v="0"/>
    <n v="0.31780980014466959"/>
  </r>
  <r>
    <s v="ORD0599"/>
    <x v="292"/>
    <x v="1"/>
    <s v="Rohan"/>
    <x v="1"/>
    <s v="Office Chair"/>
    <n v="7"/>
    <n v="6606"/>
    <n v="46242"/>
    <n v="30004.57"/>
    <n v="16237.43"/>
    <x v="2"/>
    <n v="0.35114030535011465"/>
  </r>
  <r>
    <s v="ORD0600"/>
    <x v="205"/>
    <x v="1"/>
    <s v="Imran"/>
    <x v="1"/>
    <s v="Desk"/>
    <n v="9"/>
    <n v="11182.74"/>
    <n v="100644.66"/>
    <n v="70008.009999999995"/>
    <n v="30636.65"/>
    <x v="1"/>
    <n v="0.30440412834620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8BFD10-3610-48AD-B1A4-27ABA60D43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3:I8" firstHeaderRow="1" firstDataRow="1" firstDataCol="1"/>
  <pivotFields count="16">
    <pivotField showAll="0"/>
    <pivotField numFmtId="164" showAll="0">
      <items count="294">
        <item x="189"/>
        <item x="153"/>
        <item x="23"/>
        <item x="171"/>
        <item x="195"/>
        <item x="277"/>
        <item x="121"/>
        <item x="9"/>
        <item x="215"/>
        <item x="90"/>
        <item x="288"/>
        <item x="66"/>
        <item x="98"/>
        <item x="158"/>
        <item x="141"/>
        <item x="178"/>
        <item x="125"/>
        <item x="152"/>
        <item x="190"/>
        <item x="45"/>
        <item x="264"/>
        <item x="52"/>
        <item x="159"/>
        <item x="211"/>
        <item x="92"/>
        <item x="122"/>
        <item x="202"/>
        <item x="243"/>
        <item x="183"/>
        <item x="30"/>
        <item x="255"/>
        <item x="261"/>
        <item x="128"/>
        <item x="137"/>
        <item x="111"/>
        <item x="173"/>
        <item x="72"/>
        <item x="11"/>
        <item x="177"/>
        <item x="216"/>
        <item x="156"/>
        <item x="64"/>
        <item x="231"/>
        <item x="17"/>
        <item x="142"/>
        <item x="204"/>
        <item x="20"/>
        <item x="163"/>
        <item x="249"/>
        <item x="198"/>
        <item x="39"/>
        <item x="237"/>
        <item x="28"/>
        <item x="50"/>
        <item x="270"/>
        <item x="221"/>
        <item x="272"/>
        <item x="97"/>
        <item x="236"/>
        <item x="241"/>
        <item x="209"/>
        <item x="10"/>
        <item x="26"/>
        <item x="157"/>
        <item x="192"/>
        <item x="117"/>
        <item x="113"/>
        <item x="35"/>
        <item x="256"/>
        <item x="37"/>
        <item x="126"/>
        <item x="260"/>
        <item x="167"/>
        <item x="79"/>
        <item x="172"/>
        <item x="38"/>
        <item x="58"/>
        <item x="165"/>
        <item x="56"/>
        <item x="184"/>
        <item x="239"/>
        <item x="105"/>
        <item x="186"/>
        <item x="226"/>
        <item x="132"/>
        <item x="251"/>
        <item x="193"/>
        <item x="73"/>
        <item x="5"/>
        <item x="267"/>
        <item x="205"/>
        <item x="119"/>
        <item x="180"/>
        <item x="188"/>
        <item x="12"/>
        <item x="103"/>
        <item x="14"/>
        <item x="199"/>
        <item x="27"/>
        <item x="87"/>
        <item x="81"/>
        <item x="24"/>
        <item x="222"/>
        <item x="84"/>
        <item x="104"/>
        <item x="200"/>
        <item x="220"/>
        <item x="101"/>
        <item x="207"/>
        <item x="22"/>
        <item x="114"/>
        <item x="229"/>
        <item x="57"/>
        <item x="133"/>
        <item x="130"/>
        <item x="68"/>
        <item x="1"/>
        <item x="218"/>
        <item x="240"/>
        <item x="41"/>
        <item x="123"/>
        <item x="176"/>
        <item x="214"/>
        <item x="253"/>
        <item x="151"/>
        <item x="46"/>
        <item x="263"/>
        <item x="110"/>
        <item x="268"/>
        <item x="102"/>
        <item x="40"/>
        <item x="16"/>
        <item x="109"/>
        <item x="140"/>
        <item x="280"/>
        <item x="187"/>
        <item x="160"/>
        <item x="154"/>
        <item x="29"/>
        <item x="19"/>
        <item x="82"/>
        <item x="62"/>
        <item x="86"/>
        <item x="274"/>
        <item x="175"/>
        <item x="284"/>
        <item x="273"/>
        <item x="4"/>
        <item x="242"/>
        <item x="235"/>
        <item x="139"/>
        <item x="53"/>
        <item x="275"/>
        <item x="43"/>
        <item x="289"/>
        <item x="76"/>
        <item x="161"/>
        <item x="174"/>
        <item x="33"/>
        <item x="191"/>
        <item x="290"/>
        <item x="227"/>
        <item x="31"/>
        <item x="150"/>
        <item x="276"/>
        <item x="230"/>
        <item x="164"/>
        <item x="228"/>
        <item x="120"/>
        <item x="224"/>
        <item x="95"/>
        <item x="69"/>
        <item x="287"/>
        <item x="127"/>
        <item x="282"/>
        <item x="201"/>
        <item x="234"/>
        <item x="149"/>
        <item x="91"/>
        <item x="115"/>
        <item x="179"/>
        <item x="134"/>
        <item x="244"/>
        <item x="196"/>
        <item x="254"/>
        <item x="55"/>
        <item x="208"/>
        <item x="271"/>
        <item x="283"/>
        <item x="223"/>
        <item x="78"/>
        <item x="219"/>
        <item x="108"/>
        <item x="47"/>
        <item x="63"/>
        <item x="83"/>
        <item x="233"/>
        <item x="281"/>
        <item x="292"/>
        <item x="107"/>
        <item x="124"/>
        <item x="252"/>
        <item x="278"/>
        <item x="250"/>
        <item x="286"/>
        <item x="13"/>
        <item x="49"/>
        <item x="148"/>
        <item x="246"/>
        <item x="166"/>
        <item x="71"/>
        <item x="42"/>
        <item x="138"/>
        <item x="116"/>
        <item x="99"/>
        <item x="93"/>
        <item x="147"/>
        <item x="15"/>
        <item x="0"/>
        <item x="135"/>
        <item x="194"/>
        <item x="291"/>
        <item x="131"/>
        <item x="80"/>
        <item x="155"/>
        <item x="146"/>
        <item x="118"/>
        <item x="170"/>
        <item x="144"/>
        <item x="279"/>
        <item x="18"/>
        <item x="182"/>
        <item x="266"/>
        <item x="94"/>
        <item x="262"/>
        <item x="232"/>
        <item x="75"/>
        <item x="48"/>
        <item x="74"/>
        <item x="210"/>
        <item x="106"/>
        <item x="7"/>
        <item x="60"/>
        <item x="34"/>
        <item x="36"/>
        <item x="265"/>
        <item x="257"/>
        <item x="67"/>
        <item x="168"/>
        <item x="65"/>
        <item x="145"/>
        <item x="89"/>
        <item x="6"/>
        <item x="59"/>
        <item x="269"/>
        <item x="44"/>
        <item x="213"/>
        <item x="212"/>
        <item x="51"/>
        <item x="225"/>
        <item x="245"/>
        <item x="32"/>
        <item x="217"/>
        <item x="247"/>
        <item x="112"/>
        <item x="8"/>
        <item x="238"/>
        <item x="70"/>
        <item x="2"/>
        <item x="181"/>
        <item x="259"/>
        <item x="169"/>
        <item x="21"/>
        <item x="100"/>
        <item x="61"/>
        <item x="129"/>
        <item x="185"/>
        <item x="88"/>
        <item x="258"/>
        <item x="136"/>
        <item x="206"/>
        <item x="96"/>
        <item x="285"/>
        <item x="85"/>
        <item x="25"/>
        <item x="3"/>
        <item x="162"/>
        <item x="248"/>
        <item x="203"/>
        <item x="54"/>
        <item x="77"/>
        <item x="197"/>
        <item x="143"/>
        <item t="default"/>
      </items>
    </pivotField>
    <pivotField showAll="0">
      <items count="5">
        <item x="3"/>
        <item x="1"/>
        <item x="2"/>
        <item x="0"/>
        <item t="default"/>
      </items>
    </pivotField>
    <pivotField showAll="0"/>
    <pivotField axis="axisRow" showAll="0">
      <items count="5">
        <item x="3"/>
        <item x="2"/>
        <item x="1"/>
        <item x="0"/>
        <item t="default"/>
      </items>
    </pivotField>
    <pivotField showAll="0"/>
    <pivotField showAll="0"/>
    <pivotField numFmtId="165" showAll="0"/>
    <pivotField numFmtId="165" showAll="0"/>
    <pivotField numFmtId="165" showAll="0"/>
    <pivotField dataField="1" numFmtId="165" showAll="0"/>
    <pivotField showAll="0">
      <items count="4">
        <item x="0"/>
        <item x="2"/>
        <item x="1"/>
        <item t="default"/>
      </items>
    </pivotField>
    <pivotField numFmtId="10"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4"/>
  </rowFields>
  <rowItems count="5">
    <i>
      <x/>
    </i>
    <i>
      <x v="1"/>
    </i>
    <i>
      <x v="2"/>
    </i>
    <i>
      <x v="3"/>
    </i>
    <i t="grand">
      <x/>
    </i>
  </rowItems>
  <colItems count="1">
    <i/>
  </colItems>
  <dataFields count="1">
    <dataField name="Sum of Profit" fld="10" baseField="0" baseItem="0" numFmtId="165"/>
  </dataFields>
  <chartFormats count="1">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C333DD-620D-4DF3-BFC6-BD3535A5C4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F8" firstHeaderRow="1" firstDataRow="1" firstDataCol="1"/>
  <pivotFields count="16">
    <pivotField showAll="0"/>
    <pivotField numFmtId="164" showAll="0">
      <items count="294">
        <item x="189"/>
        <item x="153"/>
        <item x="23"/>
        <item x="171"/>
        <item x="195"/>
        <item x="277"/>
        <item x="121"/>
        <item x="9"/>
        <item x="215"/>
        <item x="90"/>
        <item x="288"/>
        <item x="66"/>
        <item x="98"/>
        <item x="158"/>
        <item x="141"/>
        <item x="178"/>
        <item x="125"/>
        <item x="152"/>
        <item x="190"/>
        <item x="45"/>
        <item x="264"/>
        <item x="52"/>
        <item x="159"/>
        <item x="211"/>
        <item x="92"/>
        <item x="122"/>
        <item x="202"/>
        <item x="243"/>
        <item x="183"/>
        <item x="30"/>
        <item x="255"/>
        <item x="261"/>
        <item x="128"/>
        <item x="137"/>
        <item x="111"/>
        <item x="173"/>
        <item x="72"/>
        <item x="11"/>
        <item x="177"/>
        <item x="216"/>
        <item x="156"/>
        <item x="64"/>
        <item x="231"/>
        <item x="17"/>
        <item x="142"/>
        <item x="204"/>
        <item x="20"/>
        <item x="163"/>
        <item x="249"/>
        <item x="198"/>
        <item x="39"/>
        <item x="237"/>
        <item x="28"/>
        <item x="50"/>
        <item x="270"/>
        <item x="221"/>
        <item x="272"/>
        <item x="97"/>
        <item x="236"/>
        <item x="241"/>
        <item x="209"/>
        <item x="10"/>
        <item x="26"/>
        <item x="157"/>
        <item x="192"/>
        <item x="117"/>
        <item x="113"/>
        <item x="35"/>
        <item x="256"/>
        <item x="37"/>
        <item x="126"/>
        <item x="260"/>
        <item x="167"/>
        <item x="79"/>
        <item x="172"/>
        <item x="38"/>
        <item x="58"/>
        <item x="165"/>
        <item x="56"/>
        <item x="184"/>
        <item x="239"/>
        <item x="105"/>
        <item x="186"/>
        <item x="226"/>
        <item x="132"/>
        <item x="251"/>
        <item x="193"/>
        <item x="73"/>
        <item x="5"/>
        <item x="267"/>
        <item x="205"/>
        <item x="119"/>
        <item x="180"/>
        <item x="188"/>
        <item x="12"/>
        <item x="103"/>
        <item x="14"/>
        <item x="199"/>
        <item x="27"/>
        <item x="87"/>
        <item x="81"/>
        <item x="24"/>
        <item x="222"/>
        <item x="84"/>
        <item x="104"/>
        <item x="200"/>
        <item x="220"/>
        <item x="101"/>
        <item x="207"/>
        <item x="22"/>
        <item x="114"/>
        <item x="229"/>
        <item x="57"/>
        <item x="133"/>
        <item x="130"/>
        <item x="68"/>
        <item x="1"/>
        <item x="218"/>
        <item x="240"/>
        <item x="41"/>
        <item x="123"/>
        <item x="176"/>
        <item x="214"/>
        <item x="253"/>
        <item x="151"/>
        <item x="46"/>
        <item x="263"/>
        <item x="110"/>
        <item x="268"/>
        <item x="102"/>
        <item x="40"/>
        <item x="16"/>
        <item x="109"/>
        <item x="140"/>
        <item x="280"/>
        <item x="187"/>
        <item x="160"/>
        <item x="154"/>
        <item x="29"/>
        <item x="19"/>
        <item x="82"/>
        <item x="62"/>
        <item x="86"/>
        <item x="274"/>
        <item x="175"/>
        <item x="284"/>
        <item x="273"/>
        <item x="4"/>
        <item x="242"/>
        <item x="235"/>
        <item x="139"/>
        <item x="53"/>
        <item x="275"/>
        <item x="43"/>
        <item x="289"/>
        <item x="76"/>
        <item x="161"/>
        <item x="174"/>
        <item x="33"/>
        <item x="191"/>
        <item x="290"/>
        <item x="227"/>
        <item x="31"/>
        <item x="150"/>
        <item x="276"/>
        <item x="230"/>
        <item x="164"/>
        <item x="228"/>
        <item x="120"/>
        <item x="224"/>
        <item x="95"/>
        <item x="69"/>
        <item x="287"/>
        <item x="127"/>
        <item x="282"/>
        <item x="201"/>
        <item x="234"/>
        <item x="149"/>
        <item x="91"/>
        <item x="115"/>
        <item x="179"/>
        <item x="134"/>
        <item x="244"/>
        <item x="196"/>
        <item x="254"/>
        <item x="55"/>
        <item x="208"/>
        <item x="271"/>
        <item x="283"/>
        <item x="223"/>
        <item x="78"/>
        <item x="219"/>
        <item x="108"/>
        <item x="47"/>
        <item x="63"/>
        <item x="83"/>
        <item x="233"/>
        <item x="281"/>
        <item x="292"/>
        <item x="107"/>
        <item x="124"/>
        <item x="252"/>
        <item x="278"/>
        <item x="250"/>
        <item x="286"/>
        <item x="13"/>
        <item x="49"/>
        <item x="148"/>
        <item x="246"/>
        <item x="166"/>
        <item x="71"/>
        <item x="42"/>
        <item x="138"/>
        <item x="116"/>
        <item x="99"/>
        <item x="93"/>
        <item x="147"/>
        <item x="15"/>
        <item x="0"/>
        <item x="135"/>
        <item x="194"/>
        <item x="291"/>
        <item x="131"/>
        <item x="80"/>
        <item x="155"/>
        <item x="146"/>
        <item x="118"/>
        <item x="170"/>
        <item x="144"/>
        <item x="279"/>
        <item x="18"/>
        <item x="182"/>
        <item x="266"/>
        <item x="94"/>
        <item x="262"/>
        <item x="232"/>
        <item x="75"/>
        <item x="48"/>
        <item x="74"/>
        <item x="210"/>
        <item x="106"/>
        <item x="7"/>
        <item x="60"/>
        <item x="34"/>
        <item x="36"/>
        <item x="265"/>
        <item x="257"/>
        <item x="67"/>
        <item x="168"/>
        <item x="65"/>
        <item x="145"/>
        <item x="89"/>
        <item x="6"/>
        <item x="59"/>
        <item x="269"/>
        <item x="44"/>
        <item x="213"/>
        <item x="212"/>
        <item x="51"/>
        <item x="225"/>
        <item x="245"/>
        <item x="32"/>
        <item x="217"/>
        <item x="247"/>
        <item x="112"/>
        <item x="8"/>
        <item x="238"/>
        <item x="70"/>
        <item x="2"/>
        <item x="181"/>
        <item x="259"/>
        <item x="169"/>
        <item x="21"/>
        <item x="100"/>
        <item x="61"/>
        <item x="129"/>
        <item x="185"/>
        <item x="88"/>
        <item x="258"/>
        <item x="136"/>
        <item x="206"/>
        <item x="96"/>
        <item x="285"/>
        <item x="85"/>
        <item x="25"/>
        <item x="3"/>
        <item x="162"/>
        <item x="248"/>
        <item x="203"/>
        <item x="54"/>
        <item x="77"/>
        <item x="197"/>
        <item x="143"/>
        <item t="default"/>
      </items>
    </pivotField>
    <pivotField axis="axisRow" showAll="0">
      <items count="5">
        <item x="3"/>
        <item x="1"/>
        <item x="2"/>
        <item x="0"/>
        <item t="default"/>
      </items>
    </pivotField>
    <pivotField showAll="0"/>
    <pivotField showAll="0">
      <items count="5">
        <item x="3"/>
        <item x="2"/>
        <item x="1"/>
        <item x="0"/>
        <item t="default"/>
      </items>
    </pivotField>
    <pivotField showAll="0"/>
    <pivotField showAll="0"/>
    <pivotField numFmtId="165" showAll="0"/>
    <pivotField dataField="1" numFmtId="165" showAll="0"/>
    <pivotField numFmtId="165" showAll="0"/>
    <pivotField numFmtId="165" showAll="0"/>
    <pivotField showAll="0">
      <items count="4">
        <item x="0"/>
        <item x="2"/>
        <item x="1"/>
        <item t="default"/>
      </items>
    </pivotField>
    <pivotField numFmtId="10"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Sales" fld="8" baseField="0" baseItem="0" numFmtId="165"/>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DE567C-C7C9-440C-9550-407F04DE64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6">
    <pivotField showAll="0"/>
    <pivotField numFmtId="164" showAll="0">
      <items count="294">
        <item x="189"/>
        <item x="153"/>
        <item x="23"/>
        <item x="171"/>
        <item x="195"/>
        <item x="277"/>
        <item x="121"/>
        <item x="9"/>
        <item x="215"/>
        <item x="90"/>
        <item x="288"/>
        <item x="66"/>
        <item x="98"/>
        <item x="158"/>
        <item x="141"/>
        <item x="178"/>
        <item x="125"/>
        <item x="152"/>
        <item x="190"/>
        <item x="45"/>
        <item x="264"/>
        <item x="52"/>
        <item x="159"/>
        <item x="211"/>
        <item x="92"/>
        <item x="122"/>
        <item x="202"/>
        <item x="243"/>
        <item x="183"/>
        <item x="30"/>
        <item x="255"/>
        <item x="261"/>
        <item x="128"/>
        <item x="137"/>
        <item x="111"/>
        <item x="173"/>
        <item x="72"/>
        <item x="11"/>
        <item x="177"/>
        <item x="216"/>
        <item x="156"/>
        <item x="64"/>
        <item x="231"/>
        <item x="17"/>
        <item x="142"/>
        <item x="204"/>
        <item x="20"/>
        <item x="163"/>
        <item x="249"/>
        <item x="198"/>
        <item x="39"/>
        <item x="237"/>
        <item x="28"/>
        <item x="50"/>
        <item x="270"/>
        <item x="221"/>
        <item x="272"/>
        <item x="97"/>
        <item x="236"/>
        <item x="241"/>
        <item x="209"/>
        <item x="10"/>
        <item x="26"/>
        <item x="157"/>
        <item x="192"/>
        <item x="117"/>
        <item x="113"/>
        <item x="35"/>
        <item x="256"/>
        <item x="37"/>
        <item x="126"/>
        <item x="260"/>
        <item x="167"/>
        <item x="79"/>
        <item x="172"/>
        <item x="38"/>
        <item x="58"/>
        <item x="165"/>
        <item x="56"/>
        <item x="184"/>
        <item x="239"/>
        <item x="105"/>
        <item x="186"/>
        <item x="226"/>
        <item x="132"/>
        <item x="251"/>
        <item x="193"/>
        <item x="73"/>
        <item x="5"/>
        <item x="267"/>
        <item x="205"/>
        <item x="119"/>
        <item x="180"/>
        <item x="188"/>
        <item x="12"/>
        <item x="103"/>
        <item x="14"/>
        <item x="199"/>
        <item x="27"/>
        <item x="87"/>
        <item x="81"/>
        <item x="24"/>
        <item x="222"/>
        <item x="84"/>
        <item x="104"/>
        <item x="200"/>
        <item x="220"/>
        <item x="101"/>
        <item x="207"/>
        <item x="22"/>
        <item x="114"/>
        <item x="229"/>
        <item x="57"/>
        <item x="133"/>
        <item x="130"/>
        <item x="68"/>
        <item x="1"/>
        <item x="218"/>
        <item x="240"/>
        <item x="41"/>
        <item x="123"/>
        <item x="176"/>
        <item x="214"/>
        <item x="253"/>
        <item x="151"/>
        <item x="46"/>
        <item x="263"/>
        <item x="110"/>
        <item x="268"/>
        <item x="102"/>
        <item x="40"/>
        <item x="16"/>
        <item x="109"/>
        <item x="140"/>
        <item x="280"/>
        <item x="187"/>
        <item x="160"/>
        <item x="154"/>
        <item x="29"/>
        <item x="19"/>
        <item x="82"/>
        <item x="62"/>
        <item x="86"/>
        <item x="274"/>
        <item x="175"/>
        <item x="284"/>
        <item x="273"/>
        <item x="4"/>
        <item x="242"/>
        <item x="235"/>
        <item x="139"/>
        <item x="53"/>
        <item x="275"/>
        <item x="43"/>
        <item x="289"/>
        <item x="76"/>
        <item x="161"/>
        <item x="174"/>
        <item x="33"/>
        <item x="191"/>
        <item x="290"/>
        <item x="227"/>
        <item x="31"/>
        <item x="150"/>
        <item x="276"/>
        <item x="230"/>
        <item x="164"/>
        <item x="228"/>
        <item x="120"/>
        <item x="224"/>
        <item x="95"/>
        <item x="69"/>
        <item x="287"/>
        <item x="127"/>
        <item x="282"/>
        <item x="201"/>
        <item x="234"/>
        <item x="149"/>
        <item x="91"/>
        <item x="115"/>
        <item x="179"/>
        <item x="134"/>
        <item x="244"/>
        <item x="196"/>
        <item x="254"/>
        <item x="55"/>
        <item x="208"/>
        <item x="271"/>
        <item x="283"/>
        <item x="223"/>
        <item x="78"/>
        <item x="219"/>
        <item x="108"/>
        <item x="47"/>
        <item x="63"/>
        <item x="83"/>
        <item x="233"/>
        <item x="281"/>
        <item x="292"/>
        <item x="107"/>
        <item x="124"/>
        <item x="252"/>
        <item x="278"/>
        <item x="250"/>
        <item x="286"/>
        <item x="13"/>
        <item x="49"/>
        <item x="148"/>
        <item x="246"/>
        <item x="166"/>
        <item x="71"/>
        <item x="42"/>
        <item x="138"/>
        <item x="116"/>
        <item x="99"/>
        <item x="93"/>
        <item x="147"/>
        <item x="15"/>
        <item x="0"/>
        <item x="135"/>
        <item x="194"/>
        <item x="291"/>
        <item x="131"/>
        <item x="80"/>
        <item x="155"/>
        <item x="146"/>
        <item x="118"/>
        <item x="170"/>
        <item x="144"/>
        <item x="279"/>
        <item x="18"/>
        <item x="182"/>
        <item x="266"/>
        <item x="94"/>
        <item x="262"/>
        <item x="232"/>
        <item x="75"/>
        <item x="48"/>
        <item x="74"/>
        <item x="210"/>
        <item x="106"/>
        <item x="7"/>
        <item x="60"/>
        <item x="34"/>
        <item x="36"/>
        <item x="265"/>
        <item x="257"/>
        <item x="67"/>
        <item x="168"/>
        <item x="65"/>
        <item x="145"/>
        <item x="89"/>
        <item x="6"/>
        <item x="59"/>
        <item x="269"/>
        <item x="44"/>
        <item x="213"/>
        <item x="212"/>
        <item x="51"/>
        <item x="225"/>
        <item x="245"/>
        <item x="32"/>
        <item x="217"/>
        <item x="247"/>
        <item x="112"/>
        <item x="8"/>
        <item x="238"/>
        <item x="70"/>
        <item x="2"/>
        <item x="181"/>
        <item x="259"/>
        <item x="169"/>
        <item x="21"/>
        <item x="100"/>
        <item x="61"/>
        <item x="129"/>
        <item x="185"/>
        <item x="88"/>
        <item x="258"/>
        <item x="136"/>
        <item x="206"/>
        <item x="96"/>
        <item x="285"/>
        <item x="85"/>
        <item x="25"/>
        <item x="3"/>
        <item x="162"/>
        <item x="248"/>
        <item x="203"/>
        <item x="54"/>
        <item x="77"/>
        <item x="197"/>
        <item x="143"/>
        <item t="default"/>
      </items>
    </pivotField>
    <pivotField showAll="0">
      <items count="5">
        <item x="3"/>
        <item x="1"/>
        <item x="2"/>
        <item x="0"/>
        <item t="default"/>
      </items>
    </pivotField>
    <pivotField showAll="0"/>
    <pivotField showAll="0">
      <items count="5">
        <item x="3"/>
        <item x="2"/>
        <item x="1"/>
        <item x="0"/>
        <item t="default"/>
      </items>
    </pivotField>
    <pivotField showAll="0"/>
    <pivotField showAll="0"/>
    <pivotField numFmtId="165" showAll="0"/>
    <pivotField dataField="1" numFmtId="165" showAll="0"/>
    <pivotField numFmtId="165" showAll="0"/>
    <pivotField numFmtId="165" showAll="0"/>
    <pivotField showAll="0">
      <items count="4">
        <item x="0"/>
        <item x="2"/>
        <item x="1"/>
        <item t="default"/>
      </items>
    </pivotField>
    <pivotField numFmtId="10" showAll="0"/>
    <pivotField axis="axisRow"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13"/>
  </rowFields>
  <rowItems count="13">
    <i>
      <x v="1"/>
    </i>
    <i>
      <x v="2"/>
    </i>
    <i>
      <x v="3"/>
    </i>
    <i>
      <x v="4"/>
    </i>
    <i>
      <x v="5"/>
    </i>
    <i>
      <x v="6"/>
    </i>
    <i>
      <x v="7"/>
    </i>
    <i>
      <x v="8"/>
    </i>
    <i>
      <x v="9"/>
    </i>
    <i>
      <x v="10"/>
    </i>
    <i>
      <x v="11"/>
    </i>
    <i>
      <x v="12"/>
    </i>
    <i t="grand">
      <x/>
    </i>
  </rowItems>
  <colItems count="1">
    <i/>
  </colItems>
  <dataFields count="1">
    <dataField name="Sum of Sales" fld="8"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1FCCE6-E9B0-424A-8558-519791BAFA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11:H24" firstHeaderRow="0" firstDataRow="1" firstDataCol="1"/>
  <pivotFields count="16">
    <pivotField showAll="0"/>
    <pivotField numFmtId="164" showAll="0">
      <items count="294">
        <item x="189"/>
        <item x="153"/>
        <item x="23"/>
        <item x="171"/>
        <item x="195"/>
        <item x="277"/>
        <item x="121"/>
        <item x="9"/>
        <item x="215"/>
        <item x="90"/>
        <item x="288"/>
        <item x="66"/>
        <item x="98"/>
        <item x="158"/>
        <item x="141"/>
        <item x="178"/>
        <item x="125"/>
        <item x="152"/>
        <item x="190"/>
        <item x="45"/>
        <item x="264"/>
        <item x="52"/>
        <item x="159"/>
        <item x="211"/>
        <item x="92"/>
        <item x="122"/>
        <item x="202"/>
        <item x="243"/>
        <item x="183"/>
        <item x="30"/>
        <item x="255"/>
        <item x="261"/>
        <item x="128"/>
        <item x="137"/>
        <item x="111"/>
        <item x="173"/>
        <item x="72"/>
        <item x="11"/>
        <item x="177"/>
        <item x="216"/>
        <item x="156"/>
        <item x="64"/>
        <item x="231"/>
        <item x="17"/>
        <item x="142"/>
        <item x="204"/>
        <item x="20"/>
        <item x="163"/>
        <item x="249"/>
        <item x="198"/>
        <item x="39"/>
        <item x="237"/>
        <item x="28"/>
        <item x="50"/>
        <item x="270"/>
        <item x="221"/>
        <item x="272"/>
        <item x="97"/>
        <item x="236"/>
        <item x="241"/>
        <item x="209"/>
        <item x="10"/>
        <item x="26"/>
        <item x="157"/>
        <item x="192"/>
        <item x="117"/>
        <item x="113"/>
        <item x="35"/>
        <item x="256"/>
        <item x="37"/>
        <item x="126"/>
        <item x="260"/>
        <item x="167"/>
        <item x="79"/>
        <item x="172"/>
        <item x="38"/>
        <item x="58"/>
        <item x="165"/>
        <item x="56"/>
        <item x="184"/>
        <item x="239"/>
        <item x="105"/>
        <item x="186"/>
        <item x="226"/>
        <item x="132"/>
        <item x="251"/>
        <item x="193"/>
        <item x="73"/>
        <item x="5"/>
        <item x="267"/>
        <item x="205"/>
        <item x="119"/>
        <item x="180"/>
        <item x="188"/>
        <item x="12"/>
        <item x="103"/>
        <item x="14"/>
        <item x="199"/>
        <item x="27"/>
        <item x="87"/>
        <item x="81"/>
        <item x="24"/>
        <item x="222"/>
        <item x="84"/>
        <item x="104"/>
        <item x="200"/>
        <item x="220"/>
        <item x="101"/>
        <item x="207"/>
        <item x="22"/>
        <item x="114"/>
        <item x="229"/>
        <item x="57"/>
        <item x="133"/>
        <item x="130"/>
        <item x="68"/>
        <item x="1"/>
        <item x="218"/>
        <item x="240"/>
        <item x="41"/>
        <item x="123"/>
        <item x="176"/>
        <item x="214"/>
        <item x="253"/>
        <item x="151"/>
        <item x="46"/>
        <item x="263"/>
        <item x="110"/>
        <item x="268"/>
        <item x="102"/>
        <item x="40"/>
        <item x="16"/>
        <item x="109"/>
        <item x="140"/>
        <item x="280"/>
        <item x="187"/>
        <item x="160"/>
        <item x="154"/>
        <item x="29"/>
        <item x="19"/>
        <item x="82"/>
        <item x="62"/>
        <item x="86"/>
        <item x="274"/>
        <item x="175"/>
        <item x="284"/>
        <item x="273"/>
        <item x="4"/>
        <item x="242"/>
        <item x="235"/>
        <item x="139"/>
        <item x="53"/>
        <item x="275"/>
        <item x="43"/>
        <item x="289"/>
        <item x="76"/>
        <item x="161"/>
        <item x="174"/>
        <item x="33"/>
        <item x="191"/>
        <item x="290"/>
        <item x="227"/>
        <item x="31"/>
        <item x="150"/>
        <item x="276"/>
        <item x="230"/>
        <item x="164"/>
        <item x="228"/>
        <item x="120"/>
        <item x="224"/>
        <item x="95"/>
        <item x="69"/>
        <item x="287"/>
        <item x="127"/>
        <item x="282"/>
        <item x="201"/>
        <item x="234"/>
        <item x="149"/>
        <item x="91"/>
        <item x="115"/>
        <item x="179"/>
        <item x="134"/>
        <item x="244"/>
        <item x="196"/>
        <item x="254"/>
        <item x="55"/>
        <item x="208"/>
        <item x="271"/>
        <item x="283"/>
        <item x="223"/>
        <item x="78"/>
        <item x="219"/>
        <item x="108"/>
        <item x="47"/>
        <item x="63"/>
        <item x="83"/>
        <item x="233"/>
        <item x="281"/>
        <item x="292"/>
        <item x="107"/>
        <item x="124"/>
        <item x="252"/>
        <item x="278"/>
        <item x="250"/>
        <item x="286"/>
        <item x="13"/>
        <item x="49"/>
        <item x="148"/>
        <item x="246"/>
        <item x="166"/>
        <item x="71"/>
        <item x="42"/>
        <item x="138"/>
        <item x="116"/>
        <item x="99"/>
        <item x="93"/>
        <item x="147"/>
        <item x="15"/>
        <item x="0"/>
        <item x="135"/>
        <item x="194"/>
        <item x="291"/>
        <item x="131"/>
        <item x="80"/>
        <item x="155"/>
        <item x="146"/>
        <item x="118"/>
        <item x="170"/>
        <item x="144"/>
        <item x="279"/>
        <item x="18"/>
        <item x="182"/>
        <item x="266"/>
        <item x="94"/>
        <item x="262"/>
        <item x="232"/>
        <item x="75"/>
        <item x="48"/>
        <item x="74"/>
        <item x="210"/>
        <item x="106"/>
        <item x="7"/>
        <item x="60"/>
        <item x="34"/>
        <item x="36"/>
        <item x="265"/>
        <item x="257"/>
        <item x="67"/>
        <item x="168"/>
        <item x="65"/>
        <item x="145"/>
        <item x="89"/>
        <item x="6"/>
        <item x="59"/>
        <item x="269"/>
        <item x="44"/>
        <item x="213"/>
        <item x="212"/>
        <item x="51"/>
        <item x="225"/>
        <item x="245"/>
        <item x="32"/>
        <item x="217"/>
        <item x="247"/>
        <item x="112"/>
        <item x="8"/>
        <item x="238"/>
        <item x="70"/>
        <item x="2"/>
        <item x="181"/>
        <item x="259"/>
        <item x="169"/>
        <item x="21"/>
        <item x="100"/>
        <item x="61"/>
        <item x="129"/>
        <item x="185"/>
        <item x="88"/>
        <item x="258"/>
        <item x="136"/>
        <item x="206"/>
        <item x="96"/>
        <item x="285"/>
        <item x="85"/>
        <item x="25"/>
        <item x="3"/>
        <item x="162"/>
        <item x="248"/>
        <item x="203"/>
        <item x="54"/>
        <item x="77"/>
        <item x="197"/>
        <item x="143"/>
        <item t="default"/>
      </items>
    </pivotField>
    <pivotField showAll="0">
      <items count="5">
        <item x="3"/>
        <item x="1"/>
        <item x="2"/>
        <item x="0"/>
        <item t="default"/>
      </items>
    </pivotField>
    <pivotField showAll="0"/>
    <pivotField showAll="0">
      <items count="5">
        <item x="3"/>
        <item x="2"/>
        <item x="1"/>
        <item x="0"/>
        <item t="default"/>
      </items>
    </pivotField>
    <pivotField showAll="0"/>
    <pivotField showAll="0"/>
    <pivotField numFmtId="165" showAll="0"/>
    <pivotField dataField="1" numFmtId="165" showAll="0"/>
    <pivotField numFmtId="165" showAll="0"/>
    <pivotField dataField="1" numFmtId="165" showAll="0"/>
    <pivotField showAll="0">
      <items count="4">
        <item x="0"/>
        <item x="2"/>
        <item x="1"/>
        <item t="default"/>
      </items>
    </pivotField>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5">
        <item sd="0" x="0"/>
        <item x="1"/>
        <item sd="0" x="2"/>
        <item sd="0" x="3"/>
        <item t="default"/>
      </items>
    </pivotField>
    <pivotField dataField="1" dragToRow="0" dragToCol="0" dragToPage="0" showAll="0" defaultSubtotal="0"/>
  </pivotFields>
  <rowFields count="1">
    <field x="13"/>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Profit" fld="10" baseField="0" baseItem="0" numFmtId="165"/>
    <dataField name="Sum of Sales" fld="8" baseField="0" baseItem="0" numFmtId="165"/>
    <dataField name="Sum of Profit Margin %" fld="15" baseField="13" baseItem="6" numFmtId="10"/>
  </dataFields>
  <chartFormats count="3">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31D86E-9F99-4FEF-B055-844DBBB333CC}" sourceName="Category">
  <pivotTables>
    <pivotTable tabId="4" name="PivotTable3"/>
    <pivotTable tabId="4" name="PivotTable1"/>
    <pivotTable tabId="4" name="PivotTable2"/>
    <pivotTable tabId="4" name="PivotTable6"/>
  </pivotTables>
  <data>
    <tabular pivotCacheId="674549915">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B097DE-C234-46BC-91EA-71530272786E}" sourceName="Region">
  <pivotTables>
    <pivotTable tabId="4" name="PivotTable2"/>
    <pivotTable tabId="4" name="PivotTable1"/>
    <pivotTable tabId="4" name="PivotTable3"/>
    <pivotTable tabId="4" name="PivotTable6"/>
  </pivotTables>
  <data>
    <tabular pivotCacheId="674549915">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1CA8B42-ECED-40AD-84A8-EE4D29A8930A}" sourceName="Channel">
  <pivotTables>
    <pivotTable tabId="4" name="PivotTable1"/>
    <pivotTable tabId="4" name="PivotTable2"/>
    <pivotTable tabId="4" name="PivotTable3"/>
    <pivotTable tabId="4" name="PivotTable6"/>
  </pivotTables>
  <data>
    <tabular pivotCacheId="67454991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2956C01-FA9D-45B6-9E02-DBE621CA851A}" cache="Slicer_Category" caption="Category" rowHeight="241300"/>
  <slicer name="Region" xr10:uid="{0F8EB0A7-2E3F-4607-84A7-06C807EA8852}" cache="Slicer_Region" caption="Region" rowHeight="241300"/>
  <slicer name="Channel" xr10:uid="{42F3F2F8-0070-4162-BD8A-FF6BF5566A25}" cache="Slicer_Channel" caption="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5D0B86-A3C6-4FB1-B5B7-3C069E74BEB3}" name="SalesTable" displayName="SalesTable" ref="A1:M601" totalsRowShown="0" headerRowDxfId="6">
  <autoFilter ref="A1:M601" xr:uid="{00000000-0009-0000-0000-000000000000}"/>
  <tableColumns count="13">
    <tableColumn id="1" xr3:uid="{4F1CC92F-9EE5-47E7-83E1-32D0FC0A1AEB}" name="OrderID"/>
    <tableColumn id="2" xr3:uid="{1F239AC0-E2BD-4F8E-901C-D3DD873334F7}" name="OrderDate" dataDxfId="5"/>
    <tableColumn id="3" xr3:uid="{07198553-FF22-41BB-8E99-B0B8EA059D8F}" name="Region"/>
    <tableColumn id="4" xr3:uid="{BF20C84E-7050-439B-B9B4-3F5ECE3C5C8E}" name="Salesperson"/>
    <tableColumn id="5" xr3:uid="{A4492F2E-BD93-4229-83BE-A8522CD2CCC4}" name="Category"/>
    <tableColumn id="6" xr3:uid="{89942239-479C-4233-9FBE-5D20382A0601}" name="Product"/>
    <tableColumn id="7" xr3:uid="{A67F2724-F5AA-4288-99F1-E44BCD42315D}" name="Units"/>
    <tableColumn id="8" xr3:uid="{3F219C59-E9AA-4CB0-9184-DF8B800BCD70}" name="UnitPrice" dataDxfId="4"/>
    <tableColumn id="9" xr3:uid="{AA3F6C52-130B-4766-91E9-701A914E96DA}" name="Sales" dataDxfId="3"/>
    <tableColumn id="10" xr3:uid="{2ABAEB9A-7D76-4406-A231-CDE1E98C455A}" name="Cost" dataDxfId="2"/>
    <tableColumn id="11" xr3:uid="{A0F9CFD9-DE8E-4C81-BA99-6853D8637C49}" name="Profit" dataDxfId="1"/>
    <tableColumn id="12" xr3:uid="{2F492E6D-A360-4E3F-9CD4-C645C5A909A7}" name="Channel"/>
    <tableColumn id="13" xr3:uid="{E3211B84-EEFA-43D7-BE5E-65BE517F9F47}" name="Profit Margin" dataDxfId="0" dataCellStyle="Percent">
      <calculatedColumnFormula>K2/I2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1E4B5-7485-4CB1-AC46-963C85BF32CB}">
  <dimension ref="A3:J24"/>
  <sheetViews>
    <sheetView topLeftCell="C2" workbookViewId="0">
      <selection activeCell="H14" sqref="H14"/>
    </sheetView>
  </sheetViews>
  <sheetFormatPr defaultRowHeight="14.5" x14ac:dyDescent="0.35"/>
  <cols>
    <col min="1" max="1" width="12.36328125" bestFit="1" customWidth="1"/>
    <col min="2" max="2" width="13.54296875" bestFit="1" customWidth="1"/>
    <col min="5" max="5" width="12.36328125" bestFit="1" customWidth="1"/>
    <col min="6" max="7" width="13.54296875" bestFit="1" customWidth="1"/>
    <col min="8" max="9" width="20.26953125" bestFit="1" customWidth="1"/>
    <col min="10" max="10" width="11.26953125" bestFit="1" customWidth="1"/>
    <col min="11" max="11" width="11.81640625" bestFit="1" customWidth="1"/>
    <col min="12" max="12" width="11.26953125" bestFit="1" customWidth="1"/>
    <col min="13" max="13" width="11.81640625" bestFit="1" customWidth="1"/>
    <col min="14" max="14" width="11.26953125" bestFit="1" customWidth="1"/>
    <col min="15" max="15" width="11.81640625" bestFit="1" customWidth="1"/>
    <col min="16" max="16" width="11.26953125" bestFit="1" customWidth="1"/>
    <col min="17" max="17" width="11.81640625" bestFit="1" customWidth="1"/>
    <col min="18" max="18" width="11.26953125" bestFit="1" customWidth="1"/>
    <col min="19" max="19" width="11.81640625" bestFit="1" customWidth="1"/>
    <col min="20" max="20" width="11.26953125" bestFit="1" customWidth="1"/>
    <col min="21" max="21" width="11.81640625" bestFit="1" customWidth="1"/>
    <col min="22" max="22" width="11.26953125" bestFit="1" customWidth="1"/>
    <col min="23" max="23" width="11.81640625" bestFit="1" customWidth="1"/>
    <col min="24" max="24" width="11.26953125" bestFit="1" customWidth="1"/>
    <col min="25" max="25" width="11.81640625" bestFit="1" customWidth="1"/>
    <col min="26" max="26" width="11.26953125" bestFit="1" customWidth="1"/>
    <col min="27" max="27" width="11.81640625" bestFit="1" customWidth="1"/>
    <col min="28" max="28" width="11.26953125" bestFit="1" customWidth="1"/>
    <col min="29" max="29" width="11.81640625" bestFit="1" customWidth="1"/>
    <col min="30" max="30" width="11.26953125" bestFit="1" customWidth="1"/>
    <col min="31" max="31" width="11.81640625" bestFit="1" customWidth="1"/>
    <col min="32" max="32" width="11.26953125" bestFit="1" customWidth="1"/>
    <col min="33" max="33" width="11.81640625" bestFit="1" customWidth="1"/>
    <col min="34" max="34" width="11.26953125" bestFit="1" customWidth="1"/>
    <col min="35" max="35" width="11.81640625" bestFit="1" customWidth="1"/>
    <col min="36" max="36" width="11.26953125" bestFit="1" customWidth="1"/>
    <col min="37" max="37" width="11.81640625" bestFit="1" customWidth="1"/>
    <col min="38" max="38" width="11.26953125" bestFit="1" customWidth="1"/>
    <col min="39" max="39" width="11.81640625" bestFit="1" customWidth="1"/>
    <col min="40" max="40" width="11.26953125" bestFit="1" customWidth="1"/>
    <col min="41" max="41" width="11.81640625" bestFit="1" customWidth="1"/>
    <col min="42" max="42" width="11.26953125" bestFit="1" customWidth="1"/>
    <col min="43" max="43" width="11.81640625" bestFit="1" customWidth="1"/>
    <col min="44" max="44" width="11.26953125" bestFit="1" customWidth="1"/>
    <col min="45" max="45" width="11.81640625" bestFit="1" customWidth="1"/>
    <col min="46" max="46" width="11.26953125" bestFit="1" customWidth="1"/>
    <col min="47" max="47" width="11.81640625" bestFit="1" customWidth="1"/>
    <col min="48" max="48" width="11.26953125" bestFit="1" customWidth="1"/>
    <col min="49" max="49" width="11.81640625" bestFit="1" customWidth="1"/>
    <col min="50" max="50" width="11.26953125" bestFit="1" customWidth="1"/>
    <col min="51" max="51" width="11.81640625" bestFit="1" customWidth="1"/>
    <col min="52" max="52" width="11.26953125" bestFit="1" customWidth="1"/>
    <col min="53" max="53" width="11.81640625" bestFit="1" customWidth="1"/>
    <col min="54" max="54" width="11.26953125" bestFit="1" customWidth="1"/>
    <col min="55" max="55" width="11.81640625" bestFit="1" customWidth="1"/>
    <col min="56" max="56" width="11.26953125" bestFit="1" customWidth="1"/>
    <col min="57" max="57" width="11.81640625" bestFit="1" customWidth="1"/>
    <col min="58" max="58" width="11.26953125" bestFit="1" customWidth="1"/>
    <col min="59" max="59" width="11.81640625" bestFit="1" customWidth="1"/>
    <col min="60" max="60" width="11.26953125" bestFit="1" customWidth="1"/>
    <col min="61" max="61" width="11.81640625" bestFit="1" customWidth="1"/>
    <col min="62" max="62" width="11.26953125" bestFit="1" customWidth="1"/>
    <col min="63" max="63" width="11.81640625" bestFit="1" customWidth="1"/>
    <col min="64" max="64" width="11.26953125" bestFit="1" customWidth="1"/>
    <col min="65" max="65" width="11.81640625" bestFit="1" customWidth="1"/>
    <col min="66" max="66" width="11.26953125" bestFit="1" customWidth="1"/>
    <col min="67" max="67" width="11.81640625" bestFit="1" customWidth="1"/>
    <col min="68" max="68" width="11.26953125" bestFit="1" customWidth="1"/>
    <col min="69" max="69" width="11.81640625" bestFit="1" customWidth="1"/>
    <col min="70" max="70" width="11.26953125" bestFit="1" customWidth="1"/>
    <col min="71" max="71" width="11.81640625" bestFit="1" customWidth="1"/>
    <col min="72" max="72" width="11.26953125" bestFit="1" customWidth="1"/>
    <col min="73" max="73" width="11.81640625" bestFit="1" customWidth="1"/>
    <col min="74" max="74" width="11.26953125" bestFit="1" customWidth="1"/>
    <col min="75" max="75" width="11.81640625" bestFit="1" customWidth="1"/>
    <col min="76" max="76" width="11.26953125" bestFit="1" customWidth="1"/>
    <col min="77" max="77" width="11.81640625" bestFit="1" customWidth="1"/>
    <col min="78" max="78" width="11.26953125" bestFit="1" customWidth="1"/>
    <col min="79" max="79" width="11.81640625" bestFit="1" customWidth="1"/>
    <col min="80" max="80" width="11.26953125" bestFit="1" customWidth="1"/>
    <col min="81" max="81" width="11.81640625" bestFit="1" customWidth="1"/>
    <col min="82" max="82" width="11.26953125" bestFit="1" customWidth="1"/>
    <col min="83" max="83" width="11.81640625" bestFit="1" customWidth="1"/>
    <col min="84" max="84" width="11.26953125" bestFit="1" customWidth="1"/>
    <col min="85" max="85" width="11.81640625" bestFit="1" customWidth="1"/>
    <col min="86" max="86" width="11.26953125" bestFit="1" customWidth="1"/>
    <col min="87" max="87" width="11.81640625" bestFit="1" customWidth="1"/>
    <col min="88" max="88" width="11.26953125" bestFit="1" customWidth="1"/>
    <col min="89" max="89" width="11.81640625" bestFit="1" customWidth="1"/>
    <col min="90" max="90" width="11.26953125" bestFit="1" customWidth="1"/>
    <col min="91" max="91" width="11.81640625" bestFit="1" customWidth="1"/>
    <col min="92" max="92" width="11.26953125" bestFit="1" customWidth="1"/>
    <col min="93" max="93" width="11.81640625" bestFit="1" customWidth="1"/>
    <col min="94" max="94" width="11.26953125" bestFit="1" customWidth="1"/>
    <col min="95" max="95" width="11.81640625" bestFit="1" customWidth="1"/>
    <col min="96" max="96" width="11.26953125" bestFit="1" customWidth="1"/>
    <col min="97" max="97" width="11.81640625" bestFit="1" customWidth="1"/>
    <col min="98" max="98" width="11.26953125" bestFit="1" customWidth="1"/>
    <col min="99" max="99" width="11.81640625" bestFit="1" customWidth="1"/>
    <col min="100" max="100" width="11.26953125" bestFit="1" customWidth="1"/>
    <col min="101" max="101" width="11.81640625" bestFit="1" customWidth="1"/>
    <col min="102" max="102" width="11.26953125" bestFit="1" customWidth="1"/>
    <col min="103" max="103" width="11.81640625" bestFit="1" customWidth="1"/>
    <col min="104" max="104" width="11.26953125" bestFit="1" customWidth="1"/>
    <col min="105" max="105" width="11.81640625" bestFit="1" customWidth="1"/>
    <col min="106" max="106" width="11.26953125" bestFit="1" customWidth="1"/>
    <col min="107" max="107" width="11.81640625" bestFit="1" customWidth="1"/>
    <col min="108" max="108" width="11.26953125" bestFit="1" customWidth="1"/>
    <col min="109" max="109" width="11.81640625" bestFit="1" customWidth="1"/>
    <col min="110" max="110" width="11.26953125" bestFit="1" customWidth="1"/>
    <col min="111" max="111" width="11.81640625" bestFit="1" customWidth="1"/>
    <col min="112" max="112" width="11.26953125" bestFit="1" customWidth="1"/>
    <col min="113" max="113" width="11.81640625" bestFit="1" customWidth="1"/>
    <col min="114" max="114" width="11.26953125" bestFit="1" customWidth="1"/>
    <col min="115" max="115" width="11.81640625" bestFit="1" customWidth="1"/>
    <col min="116" max="116" width="11.26953125" bestFit="1" customWidth="1"/>
    <col min="117" max="117" width="11.81640625" bestFit="1" customWidth="1"/>
    <col min="118" max="118" width="11.26953125" bestFit="1" customWidth="1"/>
    <col min="119" max="119" width="11.81640625" bestFit="1" customWidth="1"/>
    <col min="120" max="120" width="11.26953125" bestFit="1" customWidth="1"/>
    <col min="121" max="121" width="11.81640625" bestFit="1" customWidth="1"/>
    <col min="122" max="122" width="11.26953125" bestFit="1" customWidth="1"/>
    <col min="123" max="123" width="11.81640625" bestFit="1" customWidth="1"/>
    <col min="124" max="124" width="11.26953125" bestFit="1" customWidth="1"/>
    <col min="125" max="125" width="11.81640625" bestFit="1" customWidth="1"/>
    <col min="126" max="126" width="11.26953125" bestFit="1" customWidth="1"/>
    <col min="127" max="127" width="11.81640625" bestFit="1" customWidth="1"/>
    <col min="128" max="128" width="11.26953125" bestFit="1" customWidth="1"/>
    <col min="129" max="129" width="11.81640625" bestFit="1" customWidth="1"/>
    <col min="130" max="130" width="11.26953125" bestFit="1" customWidth="1"/>
    <col min="131" max="131" width="11.81640625" bestFit="1" customWidth="1"/>
    <col min="132" max="132" width="11.26953125" bestFit="1" customWidth="1"/>
    <col min="133" max="133" width="11.81640625" bestFit="1" customWidth="1"/>
    <col min="134" max="134" width="11.26953125" bestFit="1" customWidth="1"/>
    <col min="135" max="135" width="11.81640625" bestFit="1" customWidth="1"/>
    <col min="136" max="136" width="11.26953125" bestFit="1" customWidth="1"/>
    <col min="137" max="137" width="11.81640625" bestFit="1" customWidth="1"/>
    <col min="138" max="138" width="11.26953125" bestFit="1" customWidth="1"/>
    <col min="139" max="139" width="11.81640625" bestFit="1" customWidth="1"/>
    <col min="140" max="140" width="11.26953125" bestFit="1" customWidth="1"/>
    <col min="141" max="141" width="11.81640625" bestFit="1" customWidth="1"/>
    <col min="142" max="142" width="11.26953125" bestFit="1" customWidth="1"/>
    <col min="143" max="143" width="11.81640625" bestFit="1" customWidth="1"/>
    <col min="144" max="144" width="11.26953125" bestFit="1" customWidth="1"/>
    <col min="145" max="145" width="11.81640625" bestFit="1" customWidth="1"/>
    <col min="146" max="146" width="11.26953125" bestFit="1" customWidth="1"/>
    <col min="147" max="147" width="11.81640625" bestFit="1" customWidth="1"/>
    <col min="148" max="148" width="11.26953125" bestFit="1" customWidth="1"/>
    <col min="149" max="149" width="11.81640625" bestFit="1" customWidth="1"/>
    <col min="150" max="150" width="11.26953125" bestFit="1" customWidth="1"/>
    <col min="151" max="151" width="11.81640625" bestFit="1" customWidth="1"/>
    <col min="152" max="152" width="11.26953125" bestFit="1" customWidth="1"/>
    <col min="153" max="153" width="11.81640625" bestFit="1" customWidth="1"/>
    <col min="154" max="154" width="11.26953125" bestFit="1" customWidth="1"/>
    <col min="155" max="155" width="11.81640625" bestFit="1" customWidth="1"/>
    <col min="156" max="156" width="11.26953125" bestFit="1" customWidth="1"/>
    <col min="157" max="157" width="11.81640625" bestFit="1" customWidth="1"/>
    <col min="158" max="158" width="11.26953125" bestFit="1" customWidth="1"/>
    <col min="159" max="159" width="11.81640625" bestFit="1" customWidth="1"/>
    <col min="160" max="160" width="11.26953125" bestFit="1" customWidth="1"/>
    <col min="161" max="161" width="11.81640625" bestFit="1" customWidth="1"/>
    <col min="162" max="162" width="11.26953125" bestFit="1" customWidth="1"/>
    <col min="163" max="163" width="11.81640625" bestFit="1" customWidth="1"/>
    <col min="164" max="164" width="11.26953125" bestFit="1" customWidth="1"/>
    <col min="165" max="165" width="11.81640625" bestFit="1" customWidth="1"/>
    <col min="166" max="166" width="11.26953125" bestFit="1" customWidth="1"/>
    <col min="167" max="167" width="11.81640625" bestFit="1" customWidth="1"/>
    <col min="168" max="168" width="11.26953125" bestFit="1" customWidth="1"/>
    <col min="169" max="169" width="11.81640625" bestFit="1" customWidth="1"/>
    <col min="170" max="170" width="11.26953125" bestFit="1" customWidth="1"/>
    <col min="171" max="171" width="11.81640625" bestFit="1" customWidth="1"/>
    <col min="172" max="172" width="11.26953125" bestFit="1" customWidth="1"/>
    <col min="173" max="173" width="11.81640625" bestFit="1" customWidth="1"/>
    <col min="174" max="174" width="11.26953125" bestFit="1" customWidth="1"/>
    <col min="175" max="175" width="11.81640625" bestFit="1" customWidth="1"/>
    <col min="176" max="176" width="11.26953125" bestFit="1" customWidth="1"/>
    <col min="177" max="177" width="11.81640625" bestFit="1" customWidth="1"/>
    <col min="178" max="178" width="11.26953125" bestFit="1" customWidth="1"/>
    <col min="179" max="179" width="11.81640625" bestFit="1" customWidth="1"/>
    <col min="180" max="180" width="11.26953125" bestFit="1" customWidth="1"/>
    <col min="181" max="181" width="11.81640625" bestFit="1" customWidth="1"/>
    <col min="182" max="182" width="11.26953125" bestFit="1" customWidth="1"/>
    <col min="183" max="183" width="11.81640625" bestFit="1" customWidth="1"/>
    <col min="184" max="184" width="11.26953125" bestFit="1" customWidth="1"/>
    <col min="185" max="185" width="11.81640625" bestFit="1" customWidth="1"/>
    <col min="186" max="186" width="11.26953125" bestFit="1" customWidth="1"/>
    <col min="187" max="187" width="11.81640625" bestFit="1" customWidth="1"/>
    <col min="188" max="188" width="11.26953125" bestFit="1" customWidth="1"/>
    <col min="189" max="189" width="11.81640625" bestFit="1" customWidth="1"/>
    <col min="190" max="190" width="11.26953125" bestFit="1" customWidth="1"/>
    <col min="191" max="191" width="11.81640625" bestFit="1" customWidth="1"/>
    <col min="192" max="192" width="11.26953125" bestFit="1" customWidth="1"/>
    <col min="193" max="193" width="11.81640625" bestFit="1" customWidth="1"/>
    <col min="194" max="194" width="11.26953125" bestFit="1" customWidth="1"/>
    <col min="195" max="195" width="11.81640625" bestFit="1" customWidth="1"/>
    <col min="196" max="196" width="11.26953125" bestFit="1" customWidth="1"/>
    <col min="197" max="197" width="11.81640625" bestFit="1" customWidth="1"/>
    <col min="198" max="198" width="11.26953125" bestFit="1" customWidth="1"/>
    <col min="199" max="199" width="11.81640625" bestFit="1" customWidth="1"/>
    <col min="200" max="200" width="11.26953125" bestFit="1" customWidth="1"/>
    <col min="201" max="201" width="11.81640625" bestFit="1" customWidth="1"/>
    <col min="202" max="202" width="11.26953125" bestFit="1" customWidth="1"/>
    <col min="203" max="203" width="11.81640625" bestFit="1" customWidth="1"/>
    <col min="204" max="204" width="11.26953125" bestFit="1" customWidth="1"/>
    <col min="205" max="205" width="11.81640625" bestFit="1" customWidth="1"/>
    <col min="206" max="206" width="11.26953125" bestFit="1" customWidth="1"/>
    <col min="207" max="207" width="11.81640625" bestFit="1" customWidth="1"/>
    <col min="208" max="208" width="11.26953125" bestFit="1" customWidth="1"/>
    <col min="209" max="209" width="11.81640625" bestFit="1" customWidth="1"/>
    <col min="210" max="210" width="11.26953125" bestFit="1" customWidth="1"/>
    <col min="211" max="211" width="11.81640625" bestFit="1" customWidth="1"/>
    <col min="212" max="212" width="11.26953125" bestFit="1" customWidth="1"/>
    <col min="213" max="213" width="11.81640625" bestFit="1" customWidth="1"/>
    <col min="214" max="214" width="11.26953125" bestFit="1" customWidth="1"/>
    <col min="215" max="215" width="11.81640625" bestFit="1" customWidth="1"/>
    <col min="216" max="216" width="11.26953125" bestFit="1" customWidth="1"/>
    <col min="217" max="217" width="11.81640625" bestFit="1" customWidth="1"/>
    <col min="218" max="218" width="11.26953125" bestFit="1" customWidth="1"/>
    <col min="219" max="219" width="11.81640625" bestFit="1" customWidth="1"/>
    <col min="220" max="220" width="11.26953125" bestFit="1" customWidth="1"/>
    <col min="221" max="221" width="11.81640625" bestFit="1" customWidth="1"/>
    <col min="222" max="222" width="11.26953125" bestFit="1" customWidth="1"/>
    <col min="223" max="223" width="11.81640625" bestFit="1" customWidth="1"/>
    <col min="224" max="224" width="11.26953125" bestFit="1" customWidth="1"/>
    <col min="225" max="225" width="11.81640625" bestFit="1" customWidth="1"/>
    <col min="226" max="226" width="11.26953125" bestFit="1" customWidth="1"/>
    <col min="227" max="227" width="11.81640625" bestFit="1" customWidth="1"/>
    <col min="228" max="228" width="11.26953125" bestFit="1" customWidth="1"/>
    <col min="229" max="229" width="11.81640625" bestFit="1" customWidth="1"/>
    <col min="230" max="230" width="11.26953125" bestFit="1" customWidth="1"/>
    <col min="231" max="231" width="11.81640625" bestFit="1" customWidth="1"/>
    <col min="232" max="232" width="11.26953125" bestFit="1" customWidth="1"/>
    <col min="233" max="233" width="11.81640625" bestFit="1" customWidth="1"/>
    <col min="234" max="234" width="11.26953125" bestFit="1" customWidth="1"/>
    <col min="235" max="235" width="11.81640625" bestFit="1" customWidth="1"/>
    <col min="236" max="236" width="11.26953125" bestFit="1" customWidth="1"/>
    <col min="237" max="237" width="11.81640625" bestFit="1" customWidth="1"/>
    <col min="238" max="238" width="11.26953125" bestFit="1" customWidth="1"/>
    <col min="239" max="239" width="11.81640625" bestFit="1" customWidth="1"/>
    <col min="240" max="240" width="11.26953125" bestFit="1" customWidth="1"/>
    <col min="241" max="241" width="11.81640625" bestFit="1" customWidth="1"/>
    <col min="242" max="242" width="11.26953125" bestFit="1" customWidth="1"/>
    <col min="243" max="243" width="11.81640625" bestFit="1" customWidth="1"/>
    <col min="244" max="244" width="11.26953125" bestFit="1" customWidth="1"/>
    <col min="245" max="245" width="11.81640625" bestFit="1" customWidth="1"/>
    <col min="246" max="246" width="11.26953125" bestFit="1" customWidth="1"/>
    <col min="247" max="247" width="11.81640625" bestFit="1" customWidth="1"/>
    <col min="248" max="248" width="11.26953125" bestFit="1" customWidth="1"/>
    <col min="249" max="249" width="11.81640625" bestFit="1" customWidth="1"/>
    <col min="250" max="250" width="11.26953125" bestFit="1" customWidth="1"/>
    <col min="251" max="251" width="11.81640625" bestFit="1" customWidth="1"/>
    <col min="252" max="252" width="11.26953125" bestFit="1" customWidth="1"/>
    <col min="253" max="253" width="11.81640625" bestFit="1" customWidth="1"/>
    <col min="254" max="254" width="11.26953125" bestFit="1" customWidth="1"/>
    <col min="255" max="255" width="11.81640625" bestFit="1" customWidth="1"/>
    <col min="256" max="256" width="11.26953125" bestFit="1" customWidth="1"/>
    <col min="257" max="257" width="11.81640625" bestFit="1" customWidth="1"/>
    <col min="258" max="258" width="11.26953125" bestFit="1" customWidth="1"/>
    <col min="259" max="259" width="11.81640625" bestFit="1" customWidth="1"/>
    <col min="260" max="260" width="11.26953125" bestFit="1" customWidth="1"/>
    <col min="261" max="261" width="11.81640625" bestFit="1" customWidth="1"/>
    <col min="262" max="262" width="11.26953125" bestFit="1" customWidth="1"/>
    <col min="263" max="263" width="11.81640625" bestFit="1" customWidth="1"/>
    <col min="264" max="264" width="11.26953125" bestFit="1" customWidth="1"/>
    <col min="265" max="265" width="11.81640625" bestFit="1" customWidth="1"/>
    <col min="266" max="266" width="11.26953125" bestFit="1" customWidth="1"/>
    <col min="267" max="267" width="11.81640625" bestFit="1" customWidth="1"/>
    <col min="268" max="268" width="11.26953125" bestFit="1" customWidth="1"/>
    <col min="269" max="269" width="11.81640625" bestFit="1" customWidth="1"/>
    <col min="270" max="270" width="11.26953125" bestFit="1" customWidth="1"/>
    <col min="271" max="271" width="11.81640625" bestFit="1" customWidth="1"/>
    <col min="272" max="272" width="11.26953125" bestFit="1" customWidth="1"/>
    <col min="273" max="273" width="11.81640625" bestFit="1" customWidth="1"/>
    <col min="274" max="274" width="11.26953125" bestFit="1" customWidth="1"/>
    <col min="275" max="275" width="11.81640625" bestFit="1" customWidth="1"/>
    <col min="276" max="276" width="11.26953125" bestFit="1" customWidth="1"/>
    <col min="277" max="277" width="11.81640625" bestFit="1" customWidth="1"/>
    <col min="278" max="278" width="11.26953125" bestFit="1" customWidth="1"/>
    <col min="279" max="279" width="11.81640625" bestFit="1" customWidth="1"/>
    <col min="280" max="280" width="11.26953125" bestFit="1" customWidth="1"/>
    <col min="281" max="281" width="11.81640625" bestFit="1" customWidth="1"/>
    <col min="282" max="282" width="11.26953125" bestFit="1" customWidth="1"/>
    <col min="283" max="283" width="11.81640625" bestFit="1" customWidth="1"/>
    <col min="284" max="284" width="11.26953125" bestFit="1" customWidth="1"/>
    <col min="285" max="285" width="11.81640625" bestFit="1" customWidth="1"/>
    <col min="286" max="286" width="11.26953125" bestFit="1" customWidth="1"/>
    <col min="287" max="287" width="11.81640625" bestFit="1" customWidth="1"/>
    <col min="288" max="288" width="11.26953125" bestFit="1" customWidth="1"/>
    <col min="289" max="289" width="11.81640625" bestFit="1" customWidth="1"/>
    <col min="290" max="290" width="11.26953125" bestFit="1" customWidth="1"/>
    <col min="291" max="291" width="11.81640625" bestFit="1" customWidth="1"/>
    <col min="292" max="292" width="11.26953125" bestFit="1" customWidth="1"/>
    <col min="293" max="293" width="11.81640625" bestFit="1" customWidth="1"/>
    <col min="294" max="294" width="11.26953125" bestFit="1" customWidth="1"/>
    <col min="295" max="295" width="11.81640625" bestFit="1" customWidth="1"/>
    <col min="296" max="296" width="11.26953125" bestFit="1" customWidth="1"/>
    <col min="297" max="297" width="11.81640625" bestFit="1" customWidth="1"/>
    <col min="298" max="298" width="11.26953125" bestFit="1" customWidth="1"/>
    <col min="299" max="299" width="11.81640625" bestFit="1" customWidth="1"/>
    <col min="300" max="300" width="11.26953125" bestFit="1" customWidth="1"/>
    <col min="301" max="301" width="11.81640625" bestFit="1" customWidth="1"/>
    <col min="302" max="302" width="11.26953125" bestFit="1" customWidth="1"/>
    <col min="303" max="303" width="11.81640625" bestFit="1" customWidth="1"/>
    <col min="304" max="304" width="11.26953125" bestFit="1" customWidth="1"/>
    <col min="305" max="305" width="11.81640625" bestFit="1" customWidth="1"/>
    <col min="306" max="306" width="11.26953125" bestFit="1" customWidth="1"/>
    <col min="307" max="307" width="11.81640625" bestFit="1" customWidth="1"/>
    <col min="308" max="308" width="11.26953125" bestFit="1" customWidth="1"/>
    <col min="309" max="309" width="11.81640625" bestFit="1" customWidth="1"/>
    <col min="310" max="310" width="11.26953125" bestFit="1" customWidth="1"/>
    <col min="311" max="311" width="11.81640625" bestFit="1" customWidth="1"/>
    <col min="312" max="312" width="11.26953125" bestFit="1" customWidth="1"/>
    <col min="313" max="313" width="11.81640625" bestFit="1" customWidth="1"/>
    <col min="314" max="314" width="11.26953125" bestFit="1" customWidth="1"/>
    <col min="315" max="315" width="11.81640625" bestFit="1" customWidth="1"/>
    <col min="316" max="316" width="11.26953125" bestFit="1" customWidth="1"/>
    <col min="317" max="317" width="11.81640625" bestFit="1" customWidth="1"/>
    <col min="318" max="318" width="11.26953125" bestFit="1" customWidth="1"/>
    <col min="319" max="319" width="11.81640625" bestFit="1" customWidth="1"/>
    <col min="320" max="320" width="11.26953125" bestFit="1" customWidth="1"/>
    <col min="321" max="321" width="11.81640625" bestFit="1" customWidth="1"/>
    <col min="322" max="322" width="11.26953125" bestFit="1" customWidth="1"/>
    <col min="323" max="323" width="11.81640625" bestFit="1" customWidth="1"/>
    <col min="324" max="324" width="11.26953125" bestFit="1" customWidth="1"/>
    <col min="325" max="325" width="11.81640625" bestFit="1" customWidth="1"/>
    <col min="326" max="326" width="11.26953125" bestFit="1" customWidth="1"/>
    <col min="327" max="327" width="11.81640625" bestFit="1" customWidth="1"/>
    <col min="328" max="328" width="11.26953125" bestFit="1" customWidth="1"/>
    <col min="329" max="329" width="11.81640625" bestFit="1" customWidth="1"/>
    <col min="330" max="330" width="11.26953125" bestFit="1" customWidth="1"/>
    <col min="331" max="331" width="11.81640625" bestFit="1" customWidth="1"/>
    <col min="332" max="332" width="11.26953125" bestFit="1" customWidth="1"/>
    <col min="333" max="333" width="11.81640625" bestFit="1" customWidth="1"/>
    <col min="334" max="334" width="11.26953125" bestFit="1" customWidth="1"/>
    <col min="335" max="335" width="11.81640625" bestFit="1" customWidth="1"/>
    <col min="336" max="336" width="11.26953125" bestFit="1" customWidth="1"/>
    <col min="337" max="337" width="11.81640625" bestFit="1" customWidth="1"/>
    <col min="338" max="338" width="11.26953125" bestFit="1" customWidth="1"/>
    <col min="339" max="339" width="11.81640625" bestFit="1" customWidth="1"/>
    <col min="340" max="340" width="11.26953125" bestFit="1" customWidth="1"/>
    <col min="341" max="341" width="11.81640625" bestFit="1" customWidth="1"/>
    <col min="342" max="342" width="11.26953125" bestFit="1" customWidth="1"/>
    <col min="343" max="343" width="11.81640625" bestFit="1" customWidth="1"/>
    <col min="344" max="344" width="11.26953125" bestFit="1" customWidth="1"/>
    <col min="345" max="345" width="11.81640625" bestFit="1" customWidth="1"/>
    <col min="346" max="346" width="11.26953125" bestFit="1" customWidth="1"/>
    <col min="347" max="347" width="11.81640625" bestFit="1" customWidth="1"/>
    <col min="348" max="348" width="11.26953125" bestFit="1" customWidth="1"/>
    <col min="349" max="349" width="11.81640625" bestFit="1" customWidth="1"/>
    <col min="350" max="350" width="11.26953125" bestFit="1" customWidth="1"/>
    <col min="351" max="351" width="11.81640625" bestFit="1" customWidth="1"/>
    <col min="352" max="352" width="11.26953125" bestFit="1" customWidth="1"/>
    <col min="353" max="353" width="11.81640625" bestFit="1" customWidth="1"/>
    <col min="354" max="354" width="11.26953125" bestFit="1" customWidth="1"/>
    <col min="355" max="355" width="11.81640625" bestFit="1" customWidth="1"/>
    <col min="356" max="356" width="11.26953125" bestFit="1" customWidth="1"/>
    <col min="357" max="357" width="11.81640625" bestFit="1" customWidth="1"/>
    <col min="358" max="358" width="11.26953125" bestFit="1" customWidth="1"/>
    <col min="359" max="359" width="11.81640625" bestFit="1" customWidth="1"/>
    <col min="360" max="360" width="11.26953125" bestFit="1" customWidth="1"/>
    <col min="361" max="361" width="11.81640625" bestFit="1" customWidth="1"/>
    <col min="362" max="362" width="11.26953125" bestFit="1" customWidth="1"/>
    <col min="363" max="363" width="11.81640625" bestFit="1" customWidth="1"/>
    <col min="364" max="364" width="11.26953125" bestFit="1" customWidth="1"/>
    <col min="365" max="365" width="11.81640625" bestFit="1" customWidth="1"/>
    <col min="366" max="366" width="11.26953125" bestFit="1" customWidth="1"/>
    <col min="367" max="367" width="11.81640625" bestFit="1" customWidth="1"/>
    <col min="368" max="368" width="11.26953125" bestFit="1" customWidth="1"/>
    <col min="369" max="369" width="11.81640625" bestFit="1" customWidth="1"/>
    <col min="370" max="370" width="11.26953125" bestFit="1" customWidth="1"/>
    <col min="371" max="371" width="11.81640625" bestFit="1" customWidth="1"/>
    <col min="372" max="372" width="11.26953125" bestFit="1" customWidth="1"/>
    <col min="373" max="373" width="11.81640625" bestFit="1" customWidth="1"/>
    <col min="374" max="374" width="11.26953125" bestFit="1" customWidth="1"/>
    <col min="375" max="375" width="11.81640625" bestFit="1" customWidth="1"/>
    <col min="376" max="376" width="11.26953125" bestFit="1" customWidth="1"/>
    <col min="377" max="377" width="11.81640625" bestFit="1" customWidth="1"/>
    <col min="378" max="378" width="11.26953125" bestFit="1" customWidth="1"/>
    <col min="379" max="379" width="11.81640625" bestFit="1" customWidth="1"/>
    <col min="380" max="380" width="11.26953125" bestFit="1" customWidth="1"/>
    <col min="381" max="381" width="11.81640625" bestFit="1" customWidth="1"/>
    <col min="382" max="382" width="11.26953125" bestFit="1" customWidth="1"/>
    <col min="383" max="383" width="11.81640625" bestFit="1" customWidth="1"/>
    <col min="384" max="384" width="11.26953125" bestFit="1" customWidth="1"/>
    <col min="385" max="385" width="11.81640625" bestFit="1" customWidth="1"/>
    <col min="386" max="386" width="11.26953125" bestFit="1" customWidth="1"/>
    <col min="387" max="387" width="11.81640625" bestFit="1" customWidth="1"/>
    <col min="388" max="388" width="11.26953125" bestFit="1" customWidth="1"/>
    <col min="389" max="389" width="11.81640625" bestFit="1" customWidth="1"/>
    <col min="390" max="390" width="11.26953125" bestFit="1" customWidth="1"/>
    <col min="391" max="391" width="11.81640625" bestFit="1" customWidth="1"/>
    <col min="392" max="392" width="11.26953125" bestFit="1" customWidth="1"/>
    <col min="393" max="393" width="11.81640625" bestFit="1" customWidth="1"/>
    <col min="394" max="394" width="11.26953125" bestFit="1" customWidth="1"/>
    <col min="395" max="395" width="11.81640625" bestFit="1" customWidth="1"/>
    <col min="396" max="396" width="11.26953125" bestFit="1" customWidth="1"/>
    <col min="397" max="397" width="11.81640625" bestFit="1" customWidth="1"/>
    <col min="398" max="398" width="11.26953125" bestFit="1" customWidth="1"/>
    <col min="399" max="399" width="11.81640625" bestFit="1" customWidth="1"/>
    <col min="400" max="400" width="11.26953125" bestFit="1" customWidth="1"/>
    <col min="401" max="401" width="11.81640625" bestFit="1" customWidth="1"/>
    <col min="402" max="402" width="11.26953125" bestFit="1" customWidth="1"/>
    <col min="403" max="403" width="11.81640625" bestFit="1" customWidth="1"/>
    <col min="404" max="404" width="11.26953125" bestFit="1" customWidth="1"/>
    <col min="405" max="405" width="11.81640625" bestFit="1" customWidth="1"/>
    <col min="406" max="406" width="11.26953125" bestFit="1" customWidth="1"/>
    <col min="407" max="407" width="11.81640625" bestFit="1" customWidth="1"/>
    <col min="408" max="408" width="11.26953125" bestFit="1" customWidth="1"/>
    <col min="409" max="409" width="11.81640625" bestFit="1" customWidth="1"/>
    <col min="410" max="410" width="11.26953125" bestFit="1" customWidth="1"/>
    <col min="411" max="411" width="11.81640625" bestFit="1" customWidth="1"/>
    <col min="412" max="412" width="11.26953125" bestFit="1" customWidth="1"/>
    <col min="413" max="413" width="11.81640625" bestFit="1" customWidth="1"/>
    <col min="414" max="414" width="11.26953125" bestFit="1" customWidth="1"/>
    <col min="415" max="415" width="11.81640625" bestFit="1" customWidth="1"/>
    <col min="416" max="416" width="11.26953125" bestFit="1" customWidth="1"/>
    <col min="417" max="417" width="11.81640625" bestFit="1" customWidth="1"/>
    <col min="418" max="418" width="11.26953125" bestFit="1" customWidth="1"/>
    <col min="419" max="419" width="11.81640625" bestFit="1" customWidth="1"/>
    <col min="420" max="420" width="11.26953125" bestFit="1" customWidth="1"/>
    <col min="421" max="421" width="11.81640625" bestFit="1" customWidth="1"/>
    <col min="422" max="422" width="11.26953125" bestFit="1" customWidth="1"/>
    <col min="423" max="423" width="11.81640625" bestFit="1" customWidth="1"/>
    <col min="424" max="424" width="11.26953125" bestFit="1" customWidth="1"/>
    <col min="425" max="425" width="11.81640625" bestFit="1" customWidth="1"/>
    <col min="426" max="426" width="11.26953125" bestFit="1" customWidth="1"/>
    <col min="427" max="427" width="11.81640625" bestFit="1" customWidth="1"/>
    <col min="428" max="428" width="11.26953125" bestFit="1" customWidth="1"/>
    <col min="429" max="429" width="11.81640625" bestFit="1" customWidth="1"/>
    <col min="430" max="430" width="11.26953125" bestFit="1" customWidth="1"/>
    <col min="431" max="431" width="11.81640625" bestFit="1" customWidth="1"/>
    <col min="432" max="432" width="11.26953125" bestFit="1" customWidth="1"/>
    <col min="433" max="433" width="11.81640625" bestFit="1" customWidth="1"/>
    <col min="434" max="434" width="11.26953125" bestFit="1" customWidth="1"/>
    <col min="435" max="435" width="11.81640625" bestFit="1" customWidth="1"/>
    <col min="436" max="436" width="11.26953125" bestFit="1" customWidth="1"/>
    <col min="437" max="437" width="11.81640625" bestFit="1" customWidth="1"/>
    <col min="438" max="438" width="11.26953125" bestFit="1" customWidth="1"/>
    <col min="439" max="439" width="11.81640625" bestFit="1" customWidth="1"/>
    <col min="440" max="440" width="11.26953125" bestFit="1" customWidth="1"/>
    <col min="441" max="441" width="11.81640625" bestFit="1" customWidth="1"/>
    <col min="442" max="442" width="11.26953125" bestFit="1" customWidth="1"/>
    <col min="443" max="443" width="11.81640625" bestFit="1" customWidth="1"/>
    <col min="444" max="444" width="11.26953125" bestFit="1" customWidth="1"/>
    <col min="445" max="445" width="11.81640625" bestFit="1" customWidth="1"/>
    <col min="446" max="446" width="11.26953125" bestFit="1" customWidth="1"/>
    <col min="447" max="447" width="11.81640625" bestFit="1" customWidth="1"/>
    <col min="448" max="448" width="11.26953125" bestFit="1" customWidth="1"/>
    <col min="449" max="449" width="11.81640625" bestFit="1" customWidth="1"/>
    <col min="450" max="450" width="11.26953125" bestFit="1" customWidth="1"/>
    <col min="451" max="451" width="11.81640625" bestFit="1" customWidth="1"/>
    <col min="452" max="452" width="11.26953125" bestFit="1" customWidth="1"/>
    <col min="453" max="453" width="11.81640625" bestFit="1" customWidth="1"/>
    <col min="454" max="454" width="11.26953125" bestFit="1" customWidth="1"/>
    <col min="455" max="455" width="11.81640625" bestFit="1" customWidth="1"/>
    <col min="456" max="456" width="11.26953125" bestFit="1" customWidth="1"/>
    <col min="457" max="457" width="11.81640625" bestFit="1" customWidth="1"/>
    <col min="458" max="458" width="11.26953125" bestFit="1" customWidth="1"/>
    <col min="459" max="459" width="11.81640625" bestFit="1" customWidth="1"/>
    <col min="460" max="460" width="11.26953125" bestFit="1" customWidth="1"/>
    <col min="461" max="461" width="11.81640625" bestFit="1" customWidth="1"/>
    <col min="462" max="462" width="11.26953125" bestFit="1" customWidth="1"/>
    <col min="463" max="463" width="11.81640625" bestFit="1" customWidth="1"/>
    <col min="464" max="464" width="11.26953125" bestFit="1" customWidth="1"/>
    <col min="465" max="465" width="11.81640625" bestFit="1" customWidth="1"/>
    <col min="466" max="466" width="11.26953125" bestFit="1" customWidth="1"/>
    <col min="467" max="467" width="11.81640625" bestFit="1" customWidth="1"/>
    <col min="468" max="468" width="11.26953125" bestFit="1" customWidth="1"/>
    <col min="469" max="469" width="11.81640625" bestFit="1" customWidth="1"/>
    <col min="470" max="470" width="11.26953125" bestFit="1" customWidth="1"/>
    <col min="471" max="471" width="11.81640625" bestFit="1" customWidth="1"/>
    <col min="472" max="472" width="11.26953125" bestFit="1" customWidth="1"/>
    <col min="473" max="473" width="11.81640625" bestFit="1" customWidth="1"/>
    <col min="474" max="474" width="11.26953125" bestFit="1" customWidth="1"/>
    <col min="475" max="475" width="11.81640625" bestFit="1" customWidth="1"/>
    <col min="476" max="476" width="11.26953125" bestFit="1" customWidth="1"/>
    <col min="477" max="477" width="11.81640625" bestFit="1" customWidth="1"/>
    <col min="478" max="478" width="11.26953125" bestFit="1" customWidth="1"/>
    <col min="479" max="479" width="11.81640625" bestFit="1" customWidth="1"/>
    <col min="480" max="480" width="11.26953125" bestFit="1" customWidth="1"/>
    <col min="481" max="481" width="11.81640625" bestFit="1" customWidth="1"/>
    <col min="482" max="482" width="11.26953125" bestFit="1" customWidth="1"/>
    <col min="483" max="483" width="11.81640625" bestFit="1" customWidth="1"/>
    <col min="484" max="484" width="11.26953125" bestFit="1" customWidth="1"/>
    <col min="485" max="485" width="11.81640625" bestFit="1" customWidth="1"/>
    <col min="486" max="486" width="11.26953125" bestFit="1" customWidth="1"/>
    <col min="487" max="487" width="11.81640625" bestFit="1" customWidth="1"/>
    <col min="488" max="488" width="11.26953125" bestFit="1" customWidth="1"/>
    <col min="489" max="489" width="11.81640625" bestFit="1" customWidth="1"/>
    <col min="490" max="490" width="11.26953125" bestFit="1" customWidth="1"/>
    <col min="491" max="491" width="11.81640625" bestFit="1" customWidth="1"/>
    <col min="492" max="492" width="11.26953125" bestFit="1" customWidth="1"/>
    <col min="493" max="493" width="11.81640625" bestFit="1" customWidth="1"/>
    <col min="494" max="494" width="11.26953125" bestFit="1" customWidth="1"/>
    <col min="495" max="495" width="11.81640625" bestFit="1" customWidth="1"/>
    <col min="496" max="496" width="11.26953125" bestFit="1" customWidth="1"/>
    <col min="497" max="497" width="11.81640625" bestFit="1" customWidth="1"/>
    <col min="498" max="498" width="11.26953125" bestFit="1" customWidth="1"/>
    <col min="499" max="499" width="11.81640625" bestFit="1" customWidth="1"/>
    <col min="500" max="500" width="11.26953125" bestFit="1" customWidth="1"/>
    <col min="501" max="501" width="11.81640625" bestFit="1" customWidth="1"/>
    <col min="502" max="502" width="11.26953125" bestFit="1" customWidth="1"/>
    <col min="503" max="503" width="11.81640625" bestFit="1" customWidth="1"/>
    <col min="504" max="504" width="11.26953125" bestFit="1" customWidth="1"/>
    <col min="505" max="505" width="11.81640625" bestFit="1" customWidth="1"/>
    <col min="506" max="506" width="11.26953125" bestFit="1" customWidth="1"/>
    <col min="507" max="507" width="11.81640625" bestFit="1" customWidth="1"/>
    <col min="508" max="508" width="11.26953125" bestFit="1" customWidth="1"/>
    <col min="509" max="509" width="11.81640625" bestFit="1" customWidth="1"/>
    <col min="510" max="510" width="11.26953125" bestFit="1" customWidth="1"/>
    <col min="511" max="511" width="11.81640625" bestFit="1" customWidth="1"/>
    <col min="512" max="512" width="11.26953125" bestFit="1" customWidth="1"/>
    <col min="513" max="513" width="11.81640625" bestFit="1" customWidth="1"/>
    <col min="514" max="514" width="11.26953125" bestFit="1" customWidth="1"/>
    <col min="515" max="515" width="11.81640625" bestFit="1" customWidth="1"/>
    <col min="516" max="516" width="11.26953125" bestFit="1" customWidth="1"/>
    <col min="517" max="517" width="11.81640625" bestFit="1" customWidth="1"/>
    <col min="518" max="518" width="11.26953125" bestFit="1" customWidth="1"/>
    <col min="519" max="519" width="11.81640625" bestFit="1" customWidth="1"/>
    <col min="520" max="520" width="11.26953125" bestFit="1" customWidth="1"/>
    <col min="521" max="521" width="11.81640625" bestFit="1" customWidth="1"/>
    <col min="522" max="522" width="11.26953125" bestFit="1" customWidth="1"/>
    <col min="523" max="523" width="11.81640625" bestFit="1" customWidth="1"/>
    <col min="524" max="524" width="11.26953125" bestFit="1" customWidth="1"/>
    <col min="525" max="525" width="11.81640625" bestFit="1" customWidth="1"/>
    <col min="526" max="526" width="11.26953125" bestFit="1" customWidth="1"/>
    <col min="527" max="527" width="11.81640625" bestFit="1" customWidth="1"/>
    <col min="528" max="528" width="11.26953125" bestFit="1" customWidth="1"/>
    <col min="529" max="529" width="11.81640625" bestFit="1" customWidth="1"/>
    <col min="530" max="530" width="11.26953125" bestFit="1" customWidth="1"/>
    <col min="531" max="531" width="11.81640625" bestFit="1" customWidth="1"/>
    <col min="532" max="532" width="11.26953125" bestFit="1" customWidth="1"/>
    <col min="533" max="533" width="11.81640625" bestFit="1" customWidth="1"/>
    <col min="534" max="534" width="11.26953125" bestFit="1" customWidth="1"/>
    <col min="535" max="535" width="11.81640625" bestFit="1" customWidth="1"/>
    <col min="536" max="536" width="11.26953125" bestFit="1" customWidth="1"/>
    <col min="537" max="537" width="11.81640625" bestFit="1" customWidth="1"/>
    <col min="538" max="538" width="11.26953125" bestFit="1" customWidth="1"/>
    <col min="539" max="539" width="11.81640625" bestFit="1" customWidth="1"/>
    <col min="540" max="540" width="11.26953125" bestFit="1" customWidth="1"/>
    <col min="541" max="541" width="11.81640625" bestFit="1" customWidth="1"/>
    <col min="542" max="542" width="11.26953125" bestFit="1" customWidth="1"/>
    <col min="543" max="543" width="11.81640625" bestFit="1" customWidth="1"/>
    <col min="544" max="544" width="11.26953125" bestFit="1" customWidth="1"/>
    <col min="545" max="545" width="11.81640625" bestFit="1" customWidth="1"/>
    <col min="546" max="546" width="11.26953125" bestFit="1" customWidth="1"/>
    <col min="547" max="547" width="11.81640625" bestFit="1" customWidth="1"/>
    <col min="548" max="548" width="11.26953125" bestFit="1" customWidth="1"/>
    <col min="549" max="549" width="11.81640625" bestFit="1" customWidth="1"/>
    <col min="550" max="550" width="11.26953125" bestFit="1" customWidth="1"/>
    <col min="551" max="551" width="11.81640625" bestFit="1" customWidth="1"/>
    <col min="552" max="552" width="11.26953125" bestFit="1" customWidth="1"/>
    <col min="553" max="553" width="11.81640625" bestFit="1" customWidth="1"/>
    <col min="554" max="554" width="11.26953125" bestFit="1" customWidth="1"/>
    <col min="555" max="555" width="11.81640625" bestFit="1" customWidth="1"/>
    <col min="556" max="556" width="11.26953125" bestFit="1" customWidth="1"/>
    <col min="557" max="557" width="11.81640625" bestFit="1" customWidth="1"/>
    <col min="558" max="558" width="11.26953125" bestFit="1" customWidth="1"/>
    <col min="559" max="559" width="11.81640625" bestFit="1" customWidth="1"/>
    <col min="560" max="560" width="11.26953125" bestFit="1" customWidth="1"/>
    <col min="561" max="561" width="11.81640625" bestFit="1" customWidth="1"/>
    <col min="562" max="562" width="11.26953125" bestFit="1" customWidth="1"/>
    <col min="563" max="563" width="11.81640625" bestFit="1" customWidth="1"/>
    <col min="564" max="564" width="11.26953125" bestFit="1" customWidth="1"/>
    <col min="565" max="565" width="11.81640625" bestFit="1" customWidth="1"/>
    <col min="566" max="566" width="11.26953125" bestFit="1" customWidth="1"/>
    <col min="567" max="567" width="11.81640625" bestFit="1" customWidth="1"/>
    <col min="568" max="568" width="11.26953125" bestFit="1" customWidth="1"/>
    <col min="569" max="569" width="11.81640625" bestFit="1" customWidth="1"/>
    <col min="570" max="570" width="11.26953125" bestFit="1" customWidth="1"/>
    <col min="571" max="571" width="11.81640625" bestFit="1" customWidth="1"/>
    <col min="572" max="572" width="11.26953125" bestFit="1" customWidth="1"/>
    <col min="573" max="573" width="11.81640625" bestFit="1" customWidth="1"/>
    <col min="574" max="574" width="11.26953125" bestFit="1" customWidth="1"/>
    <col min="575" max="575" width="11.81640625" bestFit="1" customWidth="1"/>
    <col min="576" max="576" width="11.26953125" bestFit="1" customWidth="1"/>
    <col min="577" max="577" width="11.81640625" bestFit="1" customWidth="1"/>
    <col min="578" max="578" width="11.26953125" bestFit="1" customWidth="1"/>
    <col min="579" max="579" width="11.81640625" bestFit="1" customWidth="1"/>
    <col min="580" max="580" width="11.26953125" bestFit="1" customWidth="1"/>
    <col min="581" max="581" width="11.81640625" bestFit="1" customWidth="1"/>
    <col min="582" max="582" width="11.26953125" bestFit="1" customWidth="1"/>
    <col min="583" max="583" width="11.81640625" bestFit="1" customWidth="1"/>
    <col min="584" max="584" width="11.26953125" bestFit="1" customWidth="1"/>
    <col min="585" max="585" width="11.81640625" bestFit="1" customWidth="1"/>
    <col min="586" max="586" width="11.26953125" bestFit="1" customWidth="1"/>
    <col min="587" max="587" width="11.81640625" bestFit="1" customWidth="1"/>
    <col min="588" max="588" width="11.26953125" bestFit="1" customWidth="1"/>
    <col min="589" max="589" width="11.81640625" bestFit="1" customWidth="1"/>
    <col min="590" max="590" width="11.26953125" bestFit="1" customWidth="1"/>
    <col min="591" max="591" width="11.81640625" bestFit="1" customWidth="1"/>
    <col min="592" max="592" width="11.26953125" bestFit="1" customWidth="1"/>
    <col min="593" max="593" width="11.81640625" bestFit="1" customWidth="1"/>
    <col min="594" max="594" width="11.26953125" bestFit="1" customWidth="1"/>
    <col min="595" max="595" width="11.81640625" bestFit="1" customWidth="1"/>
    <col min="596" max="596" width="11.26953125" bestFit="1" customWidth="1"/>
    <col min="597" max="597" width="11.81640625" bestFit="1" customWidth="1"/>
    <col min="598" max="598" width="11.26953125" bestFit="1" customWidth="1"/>
    <col min="599" max="599" width="11.81640625" bestFit="1" customWidth="1"/>
    <col min="600" max="600" width="11.26953125" bestFit="1" customWidth="1"/>
    <col min="601" max="601" width="11.81640625" bestFit="1" customWidth="1"/>
    <col min="602" max="602" width="11.26953125" bestFit="1" customWidth="1"/>
    <col min="603" max="603" width="11.81640625" bestFit="1" customWidth="1"/>
    <col min="604" max="604" width="11.26953125" bestFit="1" customWidth="1"/>
    <col min="605" max="605" width="11.81640625" bestFit="1" customWidth="1"/>
    <col min="606" max="606" width="11.26953125" bestFit="1" customWidth="1"/>
    <col min="607" max="607" width="11.81640625" bestFit="1" customWidth="1"/>
    <col min="608" max="608" width="11.26953125" bestFit="1" customWidth="1"/>
    <col min="609" max="609" width="11.81640625" bestFit="1" customWidth="1"/>
    <col min="610" max="610" width="11.26953125" bestFit="1" customWidth="1"/>
    <col min="611" max="611" width="11.81640625" bestFit="1" customWidth="1"/>
    <col min="612" max="612" width="11.26953125" bestFit="1" customWidth="1"/>
    <col min="613" max="613" width="11.81640625" bestFit="1" customWidth="1"/>
    <col min="614" max="614" width="11.26953125" bestFit="1" customWidth="1"/>
    <col min="615" max="615" width="11.81640625" bestFit="1" customWidth="1"/>
    <col min="616" max="616" width="11.26953125" bestFit="1" customWidth="1"/>
    <col min="617" max="617" width="11.81640625" bestFit="1" customWidth="1"/>
    <col min="618" max="618" width="11.26953125" bestFit="1" customWidth="1"/>
    <col min="619" max="619" width="11.81640625" bestFit="1" customWidth="1"/>
    <col min="620" max="620" width="11.26953125" bestFit="1" customWidth="1"/>
    <col min="621" max="621" width="11.81640625" bestFit="1" customWidth="1"/>
    <col min="622" max="622" width="11.26953125" bestFit="1" customWidth="1"/>
    <col min="623" max="623" width="11.81640625" bestFit="1" customWidth="1"/>
    <col min="624" max="624" width="11.26953125" bestFit="1" customWidth="1"/>
    <col min="625" max="625" width="11.81640625" bestFit="1" customWidth="1"/>
    <col min="626" max="626" width="11.26953125" bestFit="1" customWidth="1"/>
    <col min="627" max="627" width="11.81640625" bestFit="1" customWidth="1"/>
    <col min="628" max="628" width="11.26953125" bestFit="1" customWidth="1"/>
    <col min="629" max="629" width="11.81640625" bestFit="1" customWidth="1"/>
    <col min="630" max="630" width="11.26953125" bestFit="1" customWidth="1"/>
    <col min="631" max="631" width="11.81640625" bestFit="1" customWidth="1"/>
    <col min="632" max="632" width="11.26953125" bestFit="1" customWidth="1"/>
    <col min="633" max="633" width="11.81640625" bestFit="1" customWidth="1"/>
    <col min="634" max="634" width="11.26953125" bestFit="1" customWidth="1"/>
    <col min="635" max="635" width="11.81640625" bestFit="1" customWidth="1"/>
    <col min="636" max="636" width="11.26953125" bestFit="1" customWidth="1"/>
    <col min="637" max="637" width="11.81640625" bestFit="1" customWidth="1"/>
    <col min="638" max="638" width="11.26953125" bestFit="1" customWidth="1"/>
    <col min="639" max="639" width="11.81640625" bestFit="1" customWidth="1"/>
    <col min="640" max="640" width="11.26953125" bestFit="1" customWidth="1"/>
    <col min="641" max="641" width="11.81640625" bestFit="1" customWidth="1"/>
    <col min="642" max="642" width="11.26953125" bestFit="1" customWidth="1"/>
    <col min="643" max="643" width="11.81640625" bestFit="1" customWidth="1"/>
    <col min="644" max="644" width="11.26953125" bestFit="1" customWidth="1"/>
    <col min="645" max="645" width="11.81640625" bestFit="1" customWidth="1"/>
    <col min="646" max="646" width="11.26953125" bestFit="1" customWidth="1"/>
    <col min="647" max="647" width="11.81640625" bestFit="1" customWidth="1"/>
    <col min="648" max="648" width="11.26953125" bestFit="1" customWidth="1"/>
    <col min="649" max="649" width="11.81640625" bestFit="1" customWidth="1"/>
    <col min="650" max="650" width="11.26953125" bestFit="1" customWidth="1"/>
    <col min="651" max="651" width="11.81640625" bestFit="1" customWidth="1"/>
    <col min="652" max="652" width="11.26953125" bestFit="1" customWidth="1"/>
    <col min="653" max="653" width="11.81640625" bestFit="1" customWidth="1"/>
    <col min="654" max="654" width="11.26953125" bestFit="1" customWidth="1"/>
    <col min="655" max="655" width="11.81640625" bestFit="1" customWidth="1"/>
    <col min="656" max="656" width="11.26953125" bestFit="1" customWidth="1"/>
    <col min="657" max="657" width="11.81640625" bestFit="1" customWidth="1"/>
    <col min="658" max="658" width="11.26953125" bestFit="1" customWidth="1"/>
    <col min="659" max="659" width="11.81640625" bestFit="1" customWidth="1"/>
    <col min="660" max="660" width="11.26953125" bestFit="1" customWidth="1"/>
    <col min="661" max="661" width="11.81640625" bestFit="1" customWidth="1"/>
    <col min="662" max="662" width="11.26953125" bestFit="1" customWidth="1"/>
    <col min="663" max="663" width="11.81640625" bestFit="1" customWidth="1"/>
    <col min="664" max="664" width="11.26953125" bestFit="1" customWidth="1"/>
    <col min="665" max="665" width="11.81640625" bestFit="1" customWidth="1"/>
    <col min="666" max="666" width="11.26953125" bestFit="1" customWidth="1"/>
    <col min="667" max="667" width="11.81640625" bestFit="1" customWidth="1"/>
    <col min="668" max="668" width="11.26953125" bestFit="1" customWidth="1"/>
    <col min="669" max="669" width="11.81640625" bestFit="1" customWidth="1"/>
    <col min="670" max="670" width="11.26953125" bestFit="1" customWidth="1"/>
    <col min="671" max="671" width="11.81640625" bestFit="1" customWidth="1"/>
    <col min="672" max="672" width="11.26953125" bestFit="1" customWidth="1"/>
    <col min="673" max="673" width="11.81640625" bestFit="1" customWidth="1"/>
    <col min="674" max="674" width="11.26953125" bestFit="1" customWidth="1"/>
    <col min="675" max="675" width="11.81640625" bestFit="1" customWidth="1"/>
    <col min="676" max="676" width="11.26953125" bestFit="1" customWidth="1"/>
    <col min="677" max="677" width="11.81640625" bestFit="1" customWidth="1"/>
    <col min="678" max="678" width="11.26953125" bestFit="1" customWidth="1"/>
    <col min="679" max="679" width="11.81640625" bestFit="1" customWidth="1"/>
    <col min="680" max="680" width="11.26953125" bestFit="1" customWidth="1"/>
    <col min="681" max="681" width="11.81640625" bestFit="1" customWidth="1"/>
    <col min="682" max="682" width="11.26953125" bestFit="1" customWidth="1"/>
    <col min="683" max="683" width="11.81640625" bestFit="1" customWidth="1"/>
    <col min="684" max="684" width="11.26953125" bestFit="1" customWidth="1"/>
    <col min="685" max="685" width="11.81640625" bestFit="1" customWidth="1"/>
    <col min="686" max="686" width="11.26953125" bestFit="1" customWidth="1"/>
    <col min="687" max="687" width="11.81640625" bestFit="1" customWidth="1"/>
    <col min="688" max="688" width="11.26953125" bestFit="1" customWidth="1"/>
    <col min="689" max="689" width="11.81640625" bestFit="1" customWidth="1"/>
    <col min="690" max="690" width="11.26953125" bestFit="1" customWidth="1"/>
    <col min="691" max="691" width="11.81640625" bestFit="1" customWidth="1"/>
    <col min="692" max="692" width="11.26953125" bestFit="1" customWidth="1"/>
    <col min="693" max="693" width="11.81640625" bestFit="1" customWidth="1"/>
    <col min="694" max="694" width="11.26953125" bestFit="1" customWidth="1"/>
    <col min="695" max="695" width="11.81640625" bestFit="1" customWidth="1"/>
    <col min="696" max="696" width="11.26953125" bestFit="1" customWidth="1"/>
    <col min="697" max="697" width="11.81640625" bestFit="1" customWidth="1"/>
    <col min="698" max="698" width="11.26953125" bestFit="1" customWidth="1"/>
    <col min="699" max="699" width="11.81640625" bestFit="1" customWidth="1"/>
    <col min="700" max="700" width="11.26953125" bestFit="1" customWidth="1"/>
    <col min="701" max="701" width="11.81640625" bestFit="1" customWidth="1"/>
    <col min="702" max="702" width="11.26953125" bestFit="1" customWidth="1"/>
    <col min="703" max="703" width="11.81640625" bestFit="1" customWidth="1"/>
    <col min="704" max="704" width="11.26953125" bestFit="1" customWidth="1"/>
    <col min="705" max="705" width="11.81640625" bestFit="1" customWidth="1"/>
    <col min="706" max="706" width="11.26953125" bestFit="1" customWidth="1"/>
    <col min="707" max="707" width="11.81640625" bestFit="1" customWidth="1"/>
    <col min="708" max="708" width="11.26953125" bestFit="1" customWidth="1"/>
    <col min="709" max="709" width="11.81640625" bestFit="1" customWidth="1"/>
    <col min="710" max="710" width="11.26953125" bestFit="1" customWidth="1"/>
    <col min="711" max="711" width="11.81640625" bestFit="1" customWidth="1"/>
    <col min="712" max="712" width="11.26953125" bestFit="1" customWidth="1"/>
    <col min="713" max="713" width="11.81640625" bestFit="1" customWidth="1"/>
    <col min="714" max="714" width="11.26953125" bestFit="1" customWidth="1"/>
    <col min="715" max="715" width="11.81640625" bestFit="1" customWidth="1"/>
    <col min="716" max="716" width="11.26953125" bestFit="1" customWidth="1"/>
    <col min="717" max="717" width="11.81640625" bestFit="1" customWidth="1"/>
    <col min="718" max="718" width="11.26953125" bestFit="1" customWidth="1"/>
    <col min="719" max="719" width="11.81640625" bestFit="1" customWidth="1"/>
    <col min="720" max="720" width="11.26953125" bestFit="1" customWidth="1"/>
    <col min="721" max="721" width="11.81640625" bestFit="1" customWidth="1"/>
    <col min="722" max="722" width="11.26953125" bestFit="1" customWidth="1"/>
    <col min="723" max="723" width="11.81640625" bestFit="1" customWidth="1"/>
    <col min="724" max="724" width="11.26953125" bestFit="1" customWidth="1"/>
    <col min="725" max="725" width="11.81640625" bestFit="1" customWidth="1"/>
    <col min="726" max="726" width="11.26953125" bestFit="1" customWidth="1"/>
    <col min="727" max="727" width="11.81640625" bestFit="1" customWidth="1"/>
    <col min="728" max="728" width="11.26953125" bestFit="1" customWidth="1"/>
    <col min="729" max="729" width="11.81640625" bestFit="1" customWidth="1"/>
    <col min="730" max="730" width="11.26953125" bestFit="1" customWidth="1"/>
    <col min="731" max="731" width="11.81640625" bestFit="1" customWidth="1"/>
    <col min="732" max="732" width="11.26953125" bestFit="1" customWidth="1"/>
    <col min="733" max="733" width="11.81640625" bestFit="1" customWidth="1"/>
    <col min="734" max="734" width="11.26953125" bestFit="1" customWidth="1"/>
    <col min="735" max="735" width="11.81640625" bestFit="1" customWidth="1"/>
    <col min="736" max="736" width="11.26953125" bestFit="1" customWidth="1"/>
    <col min="737" max="737" width="11.81640625" bestFit="1" customWidth="1"/>
    <col min="738" max="738" width="11.26953125" bestFit="1" customWidth="1"/>
    <col min="739" max="739" width="11.81640625" bestFit="1" customWidth="1"/>
    <col min="740" max="740" width="11.26953125" bestFit="1" customWidth="1"/>
    <col min="741" max="741" width="11.81640625" bestFit="1" customWidth="1"/>
    <col min="742" max="742" width="11.26953125" bestFit="1" customWidth="1"/>
    <col min="743" max="743" width="11.81640625" bestFit="1" customWidth="1"/>
    <col min="744" max="744" width="11.26953125" bestFit="1" customWidth="1"/>
    <col min="745" max="745" width="11.81640625" bestFit="1" customWidth="1"/>
    <col min="746" max="746" width="11.26953125" bestFit="1" customWidth="1"/>
    <col min="747" max="747" width="11.81640625" bestFit="1" customWidth="1"/>
    <col min="748" max="748" width="11.26953125" bestFit="1" customWidth="1"/>
    <col min="749" max="749" width="11.81640625" bestFit="1" customWidth="1"/>
    <col min="750" max="750" width="11.26953125" bestFit="1" customWidth="1"/>
    <col min="751" max="751" width="11.81640625" bestFit="1" customWidth="1"/>
    <col min="752" max="752" width="11.26953125" bestFit="1" customWidth="1"/>
    <col min="753" max="753" width="11.81640625" bestFit="1" customWidth="1"/>
    <col min="754" max="754" width="11.26953125" bestFit="1" customWidth="1"/>
    <col min="755" max="755" width="11.81640625" bestFit="1" customWidth="1"/>
    <col min="756" max="756" width="11.26953125" bestFit="1" customWidth="1"/>
    <col min="757" max="757" width="11.81640625" bestFit="1" customWidth="1"/>
    <col min="758" max="758" width="11.26953125" bestFit="1" customWidth="1"/>
    <col min="759" max="759" width="11.81640625" bestFit="1" customWidth="1"/>
    <col min="760" max="760" width="11.26953125" bestFit="1" customWidth="1"/>
    <col min="761" max="761" width="11.81640625" bestFit="1" customWidth="1"/>
    <col min="762" max="762" width="11.26953125" bestFit="1" customWidth="1"/>
    <col min="763" max="763" width="11.81640625" bestFit="1" customWidth="1"/>
    <col min="764" max="764" width="11.26953125" bestFit="1" customWidth="1"/>
    <col min="765" max="765" width="11.81640625" bestFit="1" customWidth="1"/>
    <col min="766" max="766" width="11.26953125" bestFit="1" customWidth="1"/>
    <col min="767" max="767" width="11.81640625" bestFit="1" customWidth="1"/>
    <col min="768" max="768" width="11.26953125" bestFit="1" customWidth="1"/>
    <col min="769" max="769" width="11.81640625" bestFit="1" customWidth="1"/>
    <col min="770" max="770" width="11.26953125" bestFit="1" customWidth="1"/>
    <col min="771" max="771" width="11.81640625" bestFit="1" customWidth="1"/>
    <col min="772" max="772" width="11.26953125" bestFit="1" customWidth="1"/>
    <col min="773" max="773" width="11.81640625" bestFit="1" customWidth="1"/>
    <col min="774" max="774" width="11.26953125" bestFit="1" customWidth="1"/>
    <col min="775" max="775" width="11.81640625" bestFit="1" customWidth="1"/>
    <col min="776" max="776" width="11.26953125" bestFit="1" customWidth="1"/>
    <col min="777" max="777" width="11.81640625" bestFit="1" customWidth="1"/>
    <col min="778" max="778" width="11.26953125" bestFit="1" customWidth="1"/>
    <col min="779" max="779" width="11.81640625" bestFit="1" customWidth="1"/>
    <col min="780" max="780" width="11.26953125" bestFit="1" customWidth="1"/>
    <col min="781" max="781" width="11.81640625" bestFit="1" customWidth="1"/>
    <col min="782" max="782" width="11.26953125" bestFit="1" customWidth="1"/>
    <col min="783" max="783" width="11.81640625" bestFit="1" customWidth="1"/>
    <col min="784" max="784" width="11.26953125" bestFit="1" customWidth="1"/>
    <col min="785" max="785" width="11.81640625" bestFit="1" customWidth="1"/>
    <col min="786" max="786" width="11.26953125" bestFit="1" customWidth="1"/>
    <col min="787" max="787" width="11.81640625" bestFit="1" customWidth="1"/>
    <col min="788" max="788" width="11.26953125" bestFit="1" customWidth="1"/>
    <col min="789" max="789" width="11.81640625" bestFit="1" customWidth="1"/>
    <col min="790" max="790" width="11.26953125" bestFit="1" customWidth="1"/>
    <col min="791" max="791" width="11.81640625" bestFit="1" customWidth="1"/>
    <col min="792" max="792" width="11.26953125" bestFit="1" customWidth="1"/>
    <col min="793" max="793" width="11.81640625" bestFit="1" customWidth="1"/>
    <col min="794" max="794" width="11.26953125" bestFit="1" customWidth="1"/>
    <col min="795" max="795" width="11.81640625" bestFit="1" customWidth="1"/>
    <col min="796" max="796" width="11.26953125" bestFit="1" customWidth="1"/>
    <col min="797" max="797" width="11.81640625" bestFit="1" customWidth="1"/>
    <col min="798" max="798" width="11.26953125" bestFit="1" customWidth="1"/>
    <col min="799" max="799" width="11.81640625" bestFit="1" customWidth="1"/>
    <col min="800" max="800" width="11.26953125" bestFit="1" customWidth="1"/>
    <col min="801" max="801" width="11.81640625" bestFit="1" customWidth="1"/>
    <col min="802" max="802" width="11.26953125" bestFit="1" customWidth="1"/>
    <col min="803" max="803" width="11.81640625" bestFit="1" customWidth="1"/>
    <col min="804" max="804" width="11.26953125" bestFit="1" customWidth="1"/>
    <col min="805" max="805" width="11.81640625" bestFit="1" customWidth="1"/>
    <col min="806" max="806" width="11.26953125" bestFit="1" customWidth="1"/>
    <col min="807" max="807" width="11.81640625" bestFit="1" customWidth="1"/>
    <col min="808" max="808" width="11.26953125" bestFit="1" customWidth="1"/>
    <col min="809" max="809" width="11.81640625" bestFit="1" customWidth="1"/>
    <col min="810" max="810" width="11.26953125" bestFit="1" customWidth="1"/>
    <col min="811" max="811" width="11.81640625" bestFit="1" customWidth="1"/>
    <col min="812" max="812" width="11.26953125" bestFit="1" customWidth="1"/>
    <col min="813" max="813" width="11.81640625" bestFit="1" customWidth="1"/>
    <col min="814" max="814" width="11.26953125" bestFit="1" customWidth="1"/>
    <col min="815" max="815" width="11.81640625" bestFit="1" customWidth="1"/>
    <col min="816" max="816" width="11.26953125" bestFit="1" customWidth="1"/>
    <col min="817" max="817" width="11.81640625" bestFit="1" customWidth="1"/>
    <col min="818" max="818" width="11.26953125" bestFit="1" customWidth="1"/>
    <col min="819" max="819" width="11.81640625" bestFit="1" customWidth="1"/>
    <col min="820" max="820" width="11.26953125" bestFit="1" customWidth="1"/>
    <col min="821" max="821" width="11.81640625" bestFit="1" customWidth="1"/>
    <col min="822" max="822" width="11.26953125" bestFit="1" customWidth="1"/>
    <col min="823" max="823" width="11.81640625" bestFit="1" customWidth="1"/>
    <col min="824" max="824" width="11.26953125" bestFit="1" customWidth="1"/>
    <col min="825" max="825" width="11.81640625" bestFit="1" customWidth="1"/>
    <col min="826" max="826" width="11.26953125" bestFit="1" customWidth="1"/>
    <col min="827" max="827" width="11.81640625" bestFit="1" customWidth="1"/>
    <col min="828" max="828" width="11.26953125" bestFit="1" customWidth="1"/>
    <col min="829" max="829" width="11.81640625" bestFit="1" customWidth="1"/>
    <col min="830" max="830" width="11.26953125" bestFit="1" customWidth="1"/>
    <col min="831" max="831" width="11.81640625" bestFit="1" customWidth="1"/>
    <col min="832" max="832" width="11.26953125" bestFit="1" customWidth="1"/>
    <col min="833" max="833" width="11.81640625" bestFit="1" customWidth="1"/>
    <col min="834" max="834" width="11.26953125" bestFit="1" customWidth="1"/>
    <col min="835" max="835" width="11.81640625" bestFit="1" customWidth="1"/>
    <col min="836" max="836" width="11.26953125" bestFit="1" customWidth="1"/>
    <col min="837" max="837" width="11.81640625" bestFit="1" customWidth="1"/>
    <col min="838" max="838" width="11.26953125" bestFit="1" customWidth="1"/>
    <col min="839" max="839" width="11.81640625" bestFit="1" customWidth="1"/>
    <col min="840" max="840" width="11.26953125" bestFit="1" customWidth="1"/>
    <col min="841" max="841" width="11.81640625" bestFit="1" customWidth="1"/>
    <col min="842" max="842" width="11.26953125" bestFit="1" customWidth="1"/>
    <col min="843" max="843" width="11.81640625" bestFit="1" customWidth="1"/>
    <col min="844" max="844" width="11.26953125" bestFit="1" customWidth="1"/>
    <col min="845" max="845" width="11.81640625" bestFit="1" customWidth="1"/>
    <col min="846" max="846" width="11.26953125" bestFit="1" customWidth="1"/>
    <col min="847" max="847" width="11.81640625" bestFit="1" customWidth="1"/>
    <col min="848" max="848" width="11.26953125" bestFit="1" customWidth="1"/>
    <col min="849" max="849" width="11.81640625" bestFit="1" customWidth="1"/>
    <col min="850" max="850" width="11.26953125" bestFit="1" customWidth="1"/>
    <col min="851" max="851" width="11.81640625" bestFit="1" customWidth="1"/>
    <col min="852" max="852" width="11.26953125" bestFit="1" customWidth="1"/>
    <col min="853" max="853" width="11.81640625" bestFit="1" customWidth="1"/>
    <col min="854" max="854" width="11.26953125" bestFit="1" customWidth="1"/>
    <col min="855" max="855" width="11.81640625" bestFit="1" customWidth="1"/>
    <col min="856" max="856" width="11.26953125" bestFit="1" customWidth="1"/>
    <col min="857" max="857" width="11.81640625" bestFit="1" customWidth="1"/>
    <col min="858" max="858" width="11.26953125" bestFit="1" customWidth="1"/>
    <col min="859" max="859" width="11.81640625" bestFit="1" customWidth="1"/>
    <col min="860" max="860" width="11.26953125" bestFit="1" customWidth="1"/>
    <col min="861" max="861" width="11.81640625" bestFit="1" customWidth="1"/>
    <col min="862" max="862" width="11.26953125" bestFit="1" customWidth="1"/>
    <col min="863" max="863" width="11.81640625" bestFit="1" customWidth="1"/>
    <col min="864" max="864" width="11.26953125" bestFit="1" customWidth="1"/>
    <col min="865" max="865" width="11.81640625" bestFit="1" customWidth="1"/>
    <col min="866" max="866" width="11.26953125" bestFit="1" customWidth="1"/>
    <col min="867" max="867" width="11.81640625" bestFit="1" customWidth="1"/>
    <col min="868" max="868" width="11.26953125" bestFit="1" customWidth="1"/>
    <col min="869" max="869" width="11.81640625" bestFit="1" customWidth="1"/>
    <col min="870" max="870" width="11.26953125" bestFit="1" customWidth="1"/>
    <col min="871" max="871" width="11.81640625" bestFit="1" customWidth="1"/>
    <col min="872" max="872" width="11.26953125" bestFit="1" customWidth="1"/>
    <col min="873" max="873" width="11.81640625" bestFit="1" customWidth="1"/>
    <col min="874" max="874" width="11.26953125" bestFit="1" customWidth="1"/>
    <col min="875" max="875" width="11.81640625" bestFit="1" customWidth="1"/>
    <col min="876" max="876" width="11.26953125" bestFit="1" customWidth="1"/>
    <col min="877" max="877" width="11.81640625" bestFit="1" customWidth="1"/>
    <col min="878" max="878" width="11.26953125" bestFit="1" customWidth="1"/>
    <col min="879" max="879" width="11.81640625" bestFit="1" customWidth="1"/>
    <col min="880" max="880" width="11.26953125" bestFit="1" customWidth="1"/>
    <col min="881" max="881" width="11.81640625" bestFit="1" customWidth="1"/>
    <col min="882" max="882" width="11.26953125" bestFit="1" customWidth="1"/>
    <col min="883" max="883" width="11.81640625" bestFit="1" customWidth="1"/>
    <col min="884" max="884" width="11.26953125" bestFit="1" customWidth="1"/>
    <col min="885" max="885" width="11.81640625" bestFit="1" customWidth="1"/>
    <col min="886" max="886" width="11.26953125" bestFit="1" customWidth="1"/>
    <col min="887" max="887" width="11.81640625" bestFit="1" customWidth="1"/>
    <col min="888" max="888" width="11.26953125" bestFit="1" customWidth="1"/>
    <col min="889" max="889" width="11.81640625" bestFit="1" customWidth="1"/>
    <col min="890" max="890" width="11.26953125" bestFit="1" customWidth="1"/>
    <col min="891" max="891" width="11.81640625" bestFit="1" customWidth="1"/>
    <col min="892" max="892" width="11.26953125" bestFit="1" customWidth="1"/>
    <col min="893" max="893" width="11.81640625" bestFit="1" customWidth="1"/>
    <col min="894" max="894" width="11.26953125" bestFit="1" customWidth="1"/>
    <col min="895" max="895" width="11.81640625" bestFit="1" customWidth="1"/>
    <col min="896" max="896" width="11.26953125" bestFit="1" customWidth="1"/>
    <col min="897" max="897" width="11.81640625" bestFit="1" customWidth="1"/>
    <col min="898" max="898" width="11.26953125" bestFit="1" customWidth="1"/>
    <col min="899" max="899" width="11.81640625" bestFit="1" customWidth="1"/>
    <col min="900" max="900" width="11.26953125" bestFit="1" customWidth="1"/>
    <col min="901" max="901" width="11.81640625" bestFit="1" customWidth="1"/>
    <col min="902" max="902" width="11.26953125" bestFit="1" customWidth="1"/>
    <col min="903" max="903" width="11.81640625" bestFit="1" customWidth="1"/>
    <col min="904" max="904" width="11.26953125" bestFit="1" customWidth="1"/>
    <col min="905" max="905" width="11.81640625" bestFit="1" customWidth="1"/>
    <col min="906" max="906" width="11.26953125" bestFit="1" customWidth="1"/>
    <col min="907" max="907" width="11.81640625" bestFit="1" customWidth="1"/>
    <col min="908" max="908" width="11.26953125" bestFit="1" customWidth="1"/>
    <col min="909" max="909" width="11.81640625" bestFit="1" customWidth="1"/>
    <col min="910" max="910" width="11.26953125" bestFit="1" customWidth="1"/>
    <col min="911" max="911" width="11.81640625" bestFit="1" customWidth="1"/>
    <col min="912" max="912" width="11.26953125" bestFit="1" customWidth="1"/>
    <col min="913" max="913" width="11.81640625" bestFit="1" customWidth="1"/>
    <col min="914" max="914" width="11.26953125" bestFit="1" customWidth="1"/>
    <col min="915" max="915" width="11.81640625" bestFit="1" customWidth="1"/>
    <col min="916" max="916" width="11.26953125" bestFit="1" customWidth="1"/>
    <col min="917" max="917" width="11.81640625" bestFit="1" customWidth="1"/>
    <col min="918" max="918" width="11.26953125" bestFit="1" customWidth="1"/>
    <col min="919" max="919" width="11.81640625" bestFit="1" customWidth="1"/>
    <col min="920" max="920" width="11.26953125" bestFit="1" customWidth="1"/>
    <col min="921" max="921" width="11.81640625" bestFit="1" customWidth="1"/>
    <col min="922" max="922" width="11.26953125" bestFit="1" customWidth="1"/>
    <col min="923" max="923" width="11.81640625" bestFit="1" customWidth="1"/>
    <col min="924" max="924" width="11.26953125" bestFit="1" customWidth="1"/>
    <col min="925" max="925" width="11.81640625" bestFit="1" customWidth="1"/>
    <col min="926" max="926" width="11.26953125" bestFit="1" customWidth="1"/>
    <col min="927" max="927" width="11.81640625" bestFit="1" customWidth="1"/>
    <col min="928" max="928" width="11.26953125" bestFit="1" customWidth="1"/>
    <col min="929" max="929" width="11.81640625" bestFit="1" customWidth="1"/>
    <col min="930" max="930" width="11.26953125" bestFit="1" customWidth="1"/>
    <col min="931" max="931" width="11.81640625" bestFit="1" customWidth="1"/>
    <col min="932" max="932" width="11.26953125" bestFit="1" customWidth="1"/>
    <col min="933" max="933" width="11.81640625" bestFit="1" customWidth="1"/>
    <col min="934" max="934" width="11.26953125" bestFit="1" customWidth="1"/>
    <col min="935" max="935" width="11.81640625" bestFit="1" customWidth="1"/>
    <col min="936" max="936" width="11.26953125" bestFit="1" customWidth="1"/>
    <col min="937" max="937" width="11.81640625" bestFit="1" customWidth="1"/>
    <col min="938" max="938" width="11.26953125" bestFit="1" customWidth="1"/>
    <col min="939" max="939" width="11.81640625" bestFit="1" customWidth="1"/>
    <col min="940" max="940" width="11.26953125" bestFit="1" customWidth="1"/>
    <col min="941" max="941" width="11.81640625" bestFit="1" customWidth="1"/>
    <col min="942" max="942" width="11.26953125" bestFit="1" customWidth="1"/>
    <col min="943" max="943" width="11.81640625" bestFit="1" customWidth="1"/>
    <col min="944" max="944" width="11.26953125" bestFit="1" customWidth="1"/>
    <col min="945" max="945" width="11.81640625" bestFit="1" customWidth="1"/>
    <col min="946" max="946" width="11.26953125" bestFit="1" customWidth="1"/>
    <col min="947" max="947" width="11.81640625" bestFit="1" customWidth="1"/>
    <col min="948" max="948" width="11.26953125" bestFit="1" customWidth="1"/>
    <col min="949" max="949" width="11.81640625" bestFit="1" customWidth="1"/>
    <col min="950" max="950" width="11.26953125" bestFit="1" customWidth="1"/>
    <col min="951" max="951" width="11.81640625" bestFit="1" customWidth="1"/>
    <col min="952" max="952" width="11.26953125" bestFit="1" customWidth="1"/>
    <col min="953" max="953" width="11.81640625" bestFit="1" customWidth="1"/>
    <col min="954" max="954" width="11.26953125" bestFit="1" customWidth="1"/>
    <col min="955" max="955" width="11.81640625" bestFit="1" customWidth="1"/>
    <col min="956" max="956" width="11.26953125" bestFit="1" customWidth="1"/>
    <col min="957" max="957" width="11.81640625" bestFit="1" customWidth="1"/>
    <col min="958" max="958" width="11.26953125" bestFit="1" customWidth="1"/>
    <col min="959" max="959" width="11.81640625" bestFit="1" customWidth="1"/>
    <col min="960" max="960" width="11.26953125" bestFit="1" customWidth="1"/>
    <col min="961" max="961" width="11.81640625" bestFit="1" customWidth="1"/>
    <col min="962" max="962" width="11.26953125" bestFit="1" customWidth="1"/>
    <col min="963" max="963" width="11.81640625" bestFit="1" customWidth="1"/>
    <col min="964" max="964" width="11.26953125" bestFit="1" customWidth="1"/>
    <col min="965" max="965" width="11.81640625" bestFit="1" customWidth="1"/>
    <col min="966" max="966" width="11.26953125" bestFit="1" customWidth="1"/>
    <col min="967" max="967" width="11.81640625" bestFit="1" customWidth="1"/>
    <col min="968" max="968" width="11.26953125" bestFit="1" customWidth="1"/>
    <col min="969" max="969" width="11.81640625" bestFit="1" customWidth="1"/>
    <col min="970" max="970" width="11.26953125" bestFit="1" customWidth="1"/>
    <col min="971" max="971" width="11.81640625" bestFit="1" customWidth="1"/>
    <col min="972" max="972" width="11.26953125" bestFit="1" customWidth="1"/>
    <col min="973" max="973" width="11.81640625" bestFit="1" customWidth="1"/>
    <col min="974" max="974" width="11.26953125" bestFit="1" customWidth="1"/>
    <col min="975" max="975" width="11.81640625" bestFit="1" customWidth="1"/>
    <col min="976" max="976" width="11.26953125" bestFit="1" customWidth="1"/>
    <col min="977" max="977" width="11.81640625" bestFit="1" customWidth="1"/>
    <col min="978" max="978" width="11.26953125" bestFit="1" customWidth="1"/>
    <col min="979" max="979" width="11.81640625" bestFit="1" customWidth="1"/>
    <col min="980" max="980" width="11.26953125" bestFit="1" customWidth="1"/>
    <col min="981" max="981" width="11.81640625" bestFit="1" customWidth="1"/>
    <col min="982" max="982" width="11.26953125" bestFit="1" customWidth="1"/>
    <col min="983" max="983" width="11.81640625" bestFit="1" customWidth="1"/>
    <col min="984" max="984" width="11.26953125" bestFit="1" customWidth="1"/>
    <col min="985" max="985" width="11.81640625" bestFit="1" customWidth="1"/>
    <col min="986" max="986" width="11.26953125" bestFit="1" customWidth="1"/>
    <col min="987" max="987" width="11.81640625" bestFit="1" customWidth="1"/>
    <col min="988" max="988" width="11.26953125" bestFit="1" customWidth="1"/>
    <col min="989" max="989" width="11.81640625" bestFit="1" customWidth="1"/>
    <col min="990" max="990" width="11.26953125" bestFit="1" customWidth="1"/>
    <col min="991" max="991" width="11.81640625" bestFit="1" customWidth="1"/>
    <col min="992" max="992" width="11.26953125" bestFit="1" customWidth="1"/>
    <col min="993" max="993" width="11.81640625" bestFit="1" customWidth="1"/>
    <col min="994" max="994" width="11.26953125" bestFit="1" customWidth="1"/>
    <col min="995" max="995" width="11.81640625" bestFit="1" customWidth="1"/>
    <col min="996" max="996" width="11.26953125" bestFit="1" customWidth="1"/>
    <col min="997" max="997" width="11.81640625" bestFit="1" customWidth="1"/>
    <col min="998" max="998" width="11.26953125" bestFit="1" customWidth="1"/>
    <col min="999" max="999" width="11.81640625" bestFit="1" customWidth="1"/>
    <col min="1000" max="1000" width="11.26953125" bestFit="1" customWidth="1"/>
    <col min="1001" max="1001" width="11.81640625" bestFit="1" customWidth="1"/>
    <col min="1002" max="1002" width="11.26953125" bestFit="1" customWidth="1"/>
    <col min="1003" max="1003" width="11.81640625" bestFit="1" customWidth="1"/>
    <col min="1004" max="1004" width="11.26953125" bestFit="1" customWidth="1"/>
    <col min="1005" max="1005" width="11.81640625" bestFit="1" customWidth="1"/>
    <col min="1006" max="1006" width="11.26953125" bestFit="1" customWidth="1"/>
    <col min="1007" max="1007" width="11.81640625" bestFit="1" customWidth="1"/>
    <col min="1008" max="1008" width="11.26953125" bestFit="1" customWidth="1"/>
    <col min="1009" max="1009" width="11.81640625" bestFit="1" customWidth="1"/>
    <col min="1010" max="1010" width="11.26953125" bestFit="1" customWidth="1"/>
    <col min="1011" max="1011" width="11.81640625" bestFit="1" customWidth="1"/>
    <col min="1012" max="1012" width="11.26953125" bestFit="1" customWidth="1"/>
    <col min="1013" max="1013" width="11.81640625" bestFit="1" customWidth="1"/>
    <col min="1014" max="1014" width="11.26953125" bestFit="1" customWidth="1"/>
    <col min="1015" max="1015" width="11.81640625" bestFit="1" customWidth="1"/>
    <col min="1016" max="1016" width="11.26953125" bestFit="1" customWidth="1"/>
    <col min="1017" max="1017" width="11.81640625" bestFit="1" customWidth="1"/>
    <col min="1018" max="1018" width="11.26953125" bestFit="1" customWidth="1"/>
    <col min="1019" max="1019" width="11.81640625" bestFit="1" customWidth="1"/>
    <col min="1020" max="1020" width="11.26953125" bestFit="1" customWidth="1"/>
    <col min="1021" max="1021" width="11.81640625" bestFit="1" customWidth="1"/>
    <col min="1022" max="1022" width="11.26953125" bestFit="1" customWidth="1"/>
    <col min="1023" max="1023" width="11.81640625" bestFit="1" customWidth="1"/>
    <col min="1024" max="1024" width="11.26953125" bestFit="1" customWidth="1"/>
    <col min="1025" max="1025" width="11.81640625" bestFit="1" customWidth="1"/>
    <col min="1026" max="1026" width="11.26953125" bestFit="1" customWidth="1"/>
    <col min="1027" max="1027" width="11.81640625" bestFit="1" customWidth="1"/>
    <col min="1028" max="1028" width="11.26953125" bestFit="1" customWidth="1"/>
    <col min="1029" max="1029" width="11.81640625" bestFit="1" customWidth="1"/>
    <col min="1030" max="1030" width="11.26953125" bestFit="1" customWidth="1"/>
    <col min="1031" max="1031" width="11.81640625" bestFit="1" customWidth="1"/>
    <col min="1032" max="1032" width="11.26953125" bestFit="1" customWidth="1"/>
    <col min="1033" max="1033" width="11.81640625" bestFit="1" customWidth="1"/>
    <col min="1034" max="1034" width="11.26953125" bestFit="1" customWidth="1"/>
    <col min="1035" max="1035" width="11.81640625" bestFit="1" customWidth="1"/>
    <col min="1036" max="1036" width="11.26953125" bestFit="1" customWidth="1"/>
    <col min="1037" max="1037" width="11.81640625" bestFit="1" customWidth="1"/>
    <col min="1038" max="1038" width="11.26953125" bestFit="1" customWidth="1"/>
    <col min="1039" max="1039" width="11.81640625" bestFit="1" customWidth="1"/>
    <col min="1040" max="1040" width="11.26953125" bestFit="1" customWidth="1"/>
    <col min="1041" max="1041" width="11.81640625" bestFit="1" customWidth="1"/>
    <col min="1042" max="1042" width="11.26953125" bestFit="1" customWidth="1"/>
    <col min="1043" max="1043" width="11.81640625" bestFit="1" customWidth="1"/>
    <col min="1044" max="1044" width="11.26953125" bestFit="1" customWidth="1"/>
    <col min="1045" max="1045" width="11.81640625" bestFit="1" customWidth="1"/>
    <col min="1046" max="1046" width="11.26953125" bestFit="1" customWidth="1"/>
    <col min="1047" max="1047" width="11.81640625" bestFit="1" customWidth="1"/>
    <col min="1048" max="1048" width="11.26953125" bestFit="1" customWidth="1"/>
    <col min="1049" max="1049" width="11.81640625" bestFit="1" customWidth="1"/>
    <col min="1050" max="1050" width="11.26953125" bestFit="1" customWidth="1"/>
    <col min="1051" max="1051" width="11.81640625" bestFit="1" customWidth="1"/>
    <col min="1052" max="1052" width="11.26953125" bestFit="1" customWidth="1"/>
    <col min="1053" max="1053" width="11.81640625" bestFit="1" customWidth="1"/>
    <col min="1054" max="1054" width="11.26953125" bestFit="1" customWidth="1"/>
    <col min="1055" max="1055" width="11.81640625" bestFit="1" customWidth="1"/>
    <col min="1056" max="1056" width="11.26953125" bestFit="1" customWidth="1"/>
    <col min="1057" max="1057" width="11.81640625" bestFit="1" customWidth="1"/>
    <col min="1058" max="1058" width="11.26953125" bestFit="1" customWidth="1"/>
    <col min="1059" max="1059" width="11.81640625" bestFit="1" customWidth="1"/>
    <col min="1060" max="1060" width="11.26953125" bestFit="1" customWidth="1"/>
    <col min="1061" max="1061" width="11.81640625" bestFit="1" customWidth="1"/>
    <col min="1062" max="1062" width="11.26953125" bestFit="1" customWidth="1"/>
    <col min="1063" max="1063" width="11.81640625" bestFit="1" customWidth="1"/>
    <col min="1064" max="1064" width="11.26953125" bestFit="1" customWidth="1"/>
    <col min="1065" max="1065" width="11.81640625" bestFit="1" customWidth="1"/>
    <col min="1066" max="1066" width="11.26953125" bestFit="1" customWidth="1"/>
    <col min="1067" max="1067" width="11.81640625" bestFit="1" customWidth="1"/>
    <col min="1068" max="1068" width="11.26953125" bestFit="1" customWidth="1"/>
    <col min="1069" max="1069" width="11.81640625" bestFit="1" customWidth="1"/>
    <col min="1070" max="1070" width="11.26953125" bestFit="1" customWidth="1"/>
    <col min="1071" max="1071" width="11.81640625" bestFit="1" customWidth="1"/>
    <col min="1072" max="1072" width="11.26953125" bestFit="1" customWidth="1"/>
    <col min="1073" max="1073" width="11.81640625" bestFit="1" customWidth="1"/>
    <col min="1074" max="1074" width="11.26953125" bestFit="1" customWidth="1"/>
    <col min="1075" max="1075" width="11.81640625" bestFit="1" customWidth="1"/>
    <col min="1076" max="1076" width="11.26953125" bestFit="1" customWidth="1"/>
    <col min="1077" max="1077" width="11.81640625" bestFit="1" customWidth="1"/>
    <col min="1078" max="1078" width="11.26953125" bestFit="1" customWidth="1"/>
    <col min="1079" max="1079" width="11.81640625" bestFit="1" customWidth="1"/>
    <col min="1080" max="1080" width="11.26953125" bestFit="1" customWidth="1"/>
    <col min="1081" max="1081" width="11.81640625" bestFit="1" customWidth="1"/>
    <col min="1082" max="1082" width="11.26953125" bestFit="1" customWidth="1"/>
    <col min="1083" max="1083" width="11.81640625" bestFit="1" customWidth="1"/>
    <col min="1084" max="1084" width="11.26953125" bestFit="1" customWidth="1"/>
    <col min="1085" max="1085" width="11.81640625" bestFit="1" customWidth="1"/>
    <col min="1086" max="1086" width="11.26953125" bestFit="1" customWidth="1"/>
    <col min="1087" max="1087" width="11.81640625" bestFit="1" customWidth="1"/>
    <col min="1088" max="1088" width="11.26953125" bestFit="1" customWidth="1"/>
    <col min="1089" max="1089" width="11.81640625" bestFit="1" customWidth="1"/>
    <col min="1090" max="1090" width="11.26953125" bestFit="1" customWidth="1"/>
    <col min="1091" max="1091" width="11.81640625" bestFit="1" customWidth="1"/>
    <col min="1092" max="1092" width="11.26953125" bestFit="1" customWidth="1"/>
    <col min="1093" max="1093" width="11.81640625" bestFit="1" customWidth="1"/>
    <col min="1094" max="1094" width="11.26953125" bestFit="1" customWidth="1"/>
    <col min="1095" max="1095" width="11.81640625" bestFit="1" customWidth="1"/>
    <col min="1096" max="1096" width="11.26953125" bestFit="1" customWidth="1"/>
    <col min="1097" max="1097" width="11.81640625" bestFit="1" customWidth="1"/>
    <col min="1098" max="1098" width="11.26953125" bestFit="1" customWidth="1"/>
    <col min="1099" max="1099" width="11.81640625" bestFit="1" customWidth="1"/>
    <col min="1100" max="1100" width="11.26953125" bestFit="1" customWidth="1"/>
    <col min="1101" max="1101" width="11.81640625" bestFit="1" customWidth="1"/>
    <col min="1102" max="1102" width="11.26953125" bestFit="1" customWidth="1"/>
    <col min="1103" max="1103" width="11.81640625" bestFit="1" customWidth="1"/>
    <col min="1104" max="1104" width="11.26953125" bestFit="1" customWidth="1"/>
    <col min="1105" max="1105" width="11.81640625" bestFit="1" customWidth="1"/>
    <col min="1106" max="1106" width="11.26953125" bestFit="1" customWidth="1"/>
    <col min="1107" max="1107" width="11.81640625" bestFit="1" customWidth="1"/>
    <col min="1108" max="1108" width="11.26953125" bestFit="1" customWidth="1"/>
    <col min="1109" max="1109" width="11.81640625" bestFit="1" customWidth="1"/>
    <col min="1110" max="1110" width="11.26953125" bestFit="1" customWidth="1"/>
    <col min="1111" max="1111" width="11.81640625" bestFit="1" customWidth="1"/>
    <col min="1112" max="1112" width="11.26953125" bestFit="1" customWidth="1"/>
    <col min="1113" max="1113" width="11.81640625" bestFit="1" customWidth="1"/>
    <col min="1114" max="1114" width="11.26953125" bestFit="1" customWidth="1"/>
    <col min="1115" max="1115" width="11.81640625" bestFit="1" customWidth="1"/>
    <col min="1116" max="1116" width="11.26953125" bestFit="1" customWidth="1"/>
    <col min="1117" max="1117" width="11.81640625" bestFit="1" customWidth="1"/>
    <col min="1118" max="1118" width="11.26953125" bestFit="1" customWidth="1"/>
    <col min="1119" max="1119" width="11.81640625" bestFit="1" customWidth="1"/>
    <col min="1120" max="1120" width="11.26953125" bestFit="1" customWidth="1"/>
    <col min="1121" max="1121" width="11.81640625" bestFit="1" customWidth="1"/>
    <col min="1122" max="1122" width="11.26953125" bestFit="1" customWidth="1"/>
    <col min="1123" max="1123" width="11.81640625" bestFit="1" customWidth="1"/>
    <col min="1124" max="1124" width="11.26953125" bestFit="1" customWidth="1"/>
    <col min="1125" max="1125" width="11.81640625" bestFit="1" customWidth="1"/>
    <col min="1126" max="1126" width="11.26953125" bestFit="1" customWidth="1"/>
    <col min="1127" max="1127" width="11.81640625" bestFit="1" customWidth="1"/>
    <col min="1128" max="1128" width="11.26953125" bestFit="1" customWidth="1"/>
    <col min="1129" max="1129" width="11.81640625" bestFit="1" customWidth="1"/>
    <col min="1130" max="1130" width="11.26953125" bestFit="1" customWidth="1"/>
    <col min="1131" max="1131" width="11.81640625" bestFit="1" customWidth="1"/>
    <col min="1132" max="1132" width="11.26953125" bestFit="1" customWidth="1"/>
    <col min="1133" max="1133" width="11.81640625" bestFit="1" customWidth="1"/>
    <col min="1134" max="1134" width="11.26953125" bestFit="1" customWidth="1"/>
    <col min="1135" max="1135" width="11.81640625" bestFit="1" customWidth="1"/>
    <col min="1136" max="1136" width="11.26953125" bestFit="1" customWidth="1"/>
    <col min="1137" max="1137" width="11.81640625" bestFit="1" customWidth="1"/>
    <col min="1138" max="1138" width="11.26953125" bestFit="1" customWidth="1"/>
    <col min="1139" max="1139" width="11.81640625" bestFit="1" customWidth="1"/>
    <col min="1140" max="1140" width="11.26953125" bestFit="1" customWidth="1"/>
    <col min="1141" max="1141" width="11.81640625" bestFit="1" customWidth="1"/>
    <col min="1142" max="1142" width="11.26953125" bestFit="1" customWidth="1"/>
    <col min="1143" max="1143" width="11.81640625" bestFit="1" customWidth="1"/>
    <col min="1144" max="1144" width="11.26953125" bestFit="1" customWidth="1"/>
    <col min="1145" max="1145" width="11.81640625" bestFit="1" customWidth="1"/>
    <col min="1146" max="1146" width="11.26953125" bestFit="1" customWidth="1"/>
    <col min="1147" max="1147" width="11.81640625" bestFit="1" customWidth="1"/>
    <col min="1148" max="1148" width="11.26953125" bestFit="1" customWidth="1"/>
    <col min="1149" max="1149" width="11.81640625" bestFit="1" customWidth="1"/>
    <col min="1150" max="1150" width="11.26953125" bestFit="1" customWidth="1"/>
    <col min="1151" max="1151" width="11.81640625" bestFit="1" customWidth="1"/>
    <col min="1152" max="1152" width="11.26953125" bestFit="1" customWidth="1"/>
    <col min="1153" max="1153" width="11.81640625" bestFit="1" customWidth="1"/>
    <col min="1154" max="1154" width="11.26953125" bestFit="1" customWidth="1"/>
    <col min="1155" max="1155" width="11.81640625" bestFit="1" customWidth="1"/>
    <col min="1156" max="1156" width="11.26953125" bestFit="1" customWidth="1"/>
    <col min="1157" max="1157" width="11.81640625" bestFit="1" customWidth="1"/>
    <col min="1158" max="1158" width="11.26953125" bestFit="1" customWidth="1"/>
    <col min="1159" max="1159" width="11.81640625" bestFit="1" customWidth="1"/>
    <col min="1160" max="1160" width="11.26953125" bestFit="1" customWidth="1"/>
    <col min="1161" max="1161" width="11.81640625" bestFit="1" customWidth="1"/>
    <col min="1162" max="1162" width="11.26953125" bestFit="1" customWidth="1"/>
    <col min="1163" max="1163" width="11.81640625" bestFit="1" customWidth="1"/>
    <col min="1164" max="1164" width="11.26953125" bestFit="1" customWidth="1"/>
    <col min="1165" max="1165" width="11.81640625" bestFit="1" customWidth="1"/>
    <col min="1166" max="1166" width="11.26953125" bestFit="1" customWidth="1"/>
    <col min="1167" max="1167" width="11.81640625" bestFit="1" customWidth="1"/>
    <col min="1168" max="1168" width="11.26953125" bestFit="1" customWidth="1"/>
    <col min="1169" max="1169" width="11.81640625" bestFit="1" customWidth="1"/>
    <col min="1170" max="1170" width="11.26953125" bestFit="1" customWidth="1"/>
    <col min="1171" max="1171" width="11.81640625" bestFit="1" customWidth="1"/>
    <col min="1172" max="1172" width="11.26953125" bestFit="1" customWidth="1"/>
    <col min="1173" max="1173" width="11.81640625" bestFit="1" customWidth="1"/>
    <col min="1174" max="1174" width="11.26953125" bestFit="1" customWidth="1"/>
    <col min="1175" max="1175" width="11.81640625" bestFit="1" customWidth="1"/>
    <col min="1176" max="1176" width="11.26953125" bestFit="1" customWidth="1"/>
    <col min="1177" max="1177" width="11.81640625" bestFit="1" customWidth="1"/>
    <col min="1178" max="1178" width="11.26953125" bestFit="1" customWidth="1"/>
    <col min="1179" max="1179" width="11.81640625" bestFit="1" customWidth="1"/>
    <col min="1180" max="1180" width="11.26953125" bestFit="1" customWidth="1"/>
    <col min="1181" max="1181" width="11.81640625" bestFit="1" customWidth="1"/>
    <col min="1182" max="1182" width="11.26953125" bestFit="1" customWidth="1"/>
    <col min="1183" max="1183" width="11.81640625" bestFit="1" customWidth="1"/>
    <col min="1184" max="1184" width="11.26953125" bestFit="1" customWidth="1"/>
    <col min="1185" max="1185" width="11.81640625" bestFit="1" customWidth="1"/>
    <col min="1186" max="1186" width="11.26953125" bestFit="1" customWidth="1"/>
    <col min="1187" max="1187" width="11.81640625" bestFit="1" customWidth="1"/>
    <col min="1188" max="1188" width="11.26953125" bestFit="1" customWidth="1"/>
    <col min="1189" max="1189" width="11.81640625" bestFit="1" customWidth="1"/>
    <col min="1190" max="1190" width="11.26953125" bestFit="1" customWidth="1"/>
    <col min="1191" max="1191" width="11.81640625" bestFit="1" customWidth="1"/>
    <col min="1192" max="1192" width="11.26953125" bestFit="1" customWidth="1"/>
    <col min="1193" max="1193" width="11.81640625" bestFit="1" customWidth="1"/>
    <col min="1194" max="1194" width="11.26953125" bestFit="1" customWidth="1"/>
    <col min="1195" max="1195" width="11.81640625" bestFit="1" customWidth="1"/>
    <col min="1196" max="1196" width="11.26953125" bestFit="1" customWidth="1"/>
    <col min="1197" max="1197" width="11.81640625" bestFit="1" customWidth="1"/>
    <col min="1198" max="1198" width="11.26953125" bestFit="1" customWidth="1"/>
    <col min="1199" max="1199" width="11.81640625" bestFit="1" customWidth="1"/>
    <col min="1200" max="1200" width="11.26953125" bestFit="1" customWidth="1"/>
    <col min="1201" max="1201" width="11.81640625" bestFit="1" customWidth="1"/>
    <col min="1202" max="1202" width="11.26953125" bestFit="1" customWidth="1"/>
    <col min="1203" max="1203" width="11.81640625" bestFit="1" customWidth="1"/>
    <col min="1204" max="1204" width="11.26953125" bestFit="1" customWidth="1"/>
    <col min="1205" max="1205" width="11.81640625" bestFit="1" customWidth="1"/>
    <col min="1206" max="1206" width="16.08984375" bestFit="1" customWidth="1"/>
    <col min="1207" max="1207" width="16.6328125" bestFit="1" customWidth="1"/>
  </cols>
  <sheetData>
    <row r="3" spans="1:10" x14ac:dyDescent="0.35">
      <c r="A3" s="8" t="s">
        <v>648</v>
      </c>
      <c r="B3" t="s">
        <v>662</v>
      </c>
      <c r="E3" s="8" t="s">
        <v>648</v>
      </c>
      <c r="F3" t="s">
        <v>662</v>
      </c>
      <c r="H3" s="8" t="s">
        <v>648</v>
      </c>
      <c r="I3" t="s">
        <v>663</v>
      </c>
    </row>
    <row r="4" spans="1:10" x14ac:dyDescent="0.35">
      <c r="A4" s="9" t="s">
        <v>650</v>
      </c>
      <c r="B4" s="3">
        <v>1813101.7899999998</v>
      </c>
      <c r="E4" s="9" t="s">
        <v>42</v>
      </c>
      <c r="F4" s="3">
        <v>10404063.509999996</v>
      </c>
      <c r="H4" s="9" t="s">
        <v>46</v>
      </c>
      <c r="I4" s="3">
        <v>829337.15000000014</v>
      </c>
    </row>
    <row r="5" spans="1:10" x14ac:dyDescent="0.35">
      <c r="A5" s="9" t="s">
        <v>651</v>
      </c>
      <c r="B5" s="3">
        <v>3844539.2600000007</v>
      </c>
      <c r="E5" s="9" t="s">
        <v>19</v>
      </c>
      <c r="F5" s="3">
        <v>7407232.5800000047</v>
      </c>
      <c r="H5" s="9" t="s">
        <v>26</v>
      </c>
      <c r="I5" s="3">
        <v>4877007.4000000041</v>
      </c>
    </row>
    <row r="6" spans="1:10" x14ac:dyDescent="0.35">
      <c r="A6" s="9" t="s">
        <v>652</v>
      </c>
      <c r="B6" s="3">
        <v>3719387.419999999</v>
      </c>
      <c r="E6" s="9" t="s">
        <v>29</v>
      </c>
      <c r="F6" s="3">
        <v>11147189.819999997</v>
      </c>
      <c r="H6" s="9" t="s">
        <v>21</v>
      </c>
      <c r="I6" s="3">
        <v>3721662.1399999997</v>
      </c>
    </row>
    <row r="7" spans="1:10" x14ac:dyDescent="0.35">
      <c r="A7" s="9" t="s">
        <v>653</v>
      </c>
      <c r="B7" s="3">
        <v>2523474.4799999995</v>
      </c>
      <c r="E7" s="9" t="s">
        <v>13</v>
      </c>
      <c r="F7" s="3">
        <v>9267922.2900000028</v>
      </c>
      <c r="H7" s="9" t="s">
        <v>15</v>
      </c>
      <c r="I7" s="3">
        <v>105962.23</v>
      </c>
    </row>
    <row r="8" spans="1:10" x14ac:dyDescent="0.35">
      <c r="A8" s="9" t="s">
        <v>654</v>
      </c>
      <c r="B8" s="3">
        <v>3207735.46</v>
      </c>
      <c r="E8" s="9" t="s">
        <v>649</v>
      </c>
      <c r="F8" s="3">
        <v>38226408.200000003</v>
      </c>
      <c r="H8" s="9" t="s">
        <v>649</v>
      </c>
      <c r="I8" s="3">
        <v>9533968.9200000055</v>
      </c>
    </row>
    <row r="9" spans="1:10" x14ac:dyDescent="0.35">
      <c r="A9" s="9" t="s">
        <v>655</v>
      </c>
      <c r="B9" s="3">
        <v>2574869.9699999997</v>
      </c>
    </row>
    <row r="10" spans="1:10" x14ac:dyDescent="0.35">
      <c r="A10" s="9" t="s">
        <v>656</v>
      </c>
      <c r="B10" s="3">
        <v>2771536.37</v>
      </c>
    </row>
    <row r="11" spans="1:10" x14ac:dyDescent="0.35">
      <c r="A11" s="9" t="s">
        <v>657</v>
      </c>
      <c r="B11" s="3">
        <v>5277575.78</v>
      </c>
      <c r="E11" s="8" t="s">
        <v>648</v>
      </c>
      <c r="F11" t="s">
        <v>663</v>
      </c>
      <c r="G11" t="s">
        <v>662</v>
      </c>
      <c r="H11" t="s">
        <v>664</v>
      </c>
    </row>
    <row r="12" spans="1:10" x14ac:dyDescent="0.35">
      <c r="A12" s="9" t="s">
        <v>658</v>
      </c>
      <c r="B12" s="3">
        <v>3176045.62</v>
      </c>
      <c r="E12" s="9" t="s">
        <v>650</v>
      </c>
      <c r="F12" s="3">
        <v>463668.55999999994</v>
      </c>
      <c r="G12" s="3">
        <v>1813101.7899999998</v>
      </c>
      <c r="H12" s="6">
        <v>0.25573222780834604</v>
      </c>
      <c r="J12" s="7"/>
    </row>
    <row r="13" spans="1:10" x14ac:dyDescent="0.35">
      <c r="A13" s="9" t="s">
        <v>659</v>
      </c>
      <c r="B13" s="3">
        <v>5437317.580000001</v>
      </c>
      <c r="E13" s="9" t="s">
        <v>651</v>
      </c>
      <c r="F13" s="3">
        <v>1016987.1299999999</v>
      </c>
      <c r="G13" s="3">
        <v>3844539.2600000007</v>
      </c>
      <c r="H13" s="6">
        <v>0.26452770051826696</v>
      </c>
    </row>
    <row r="14" spans="1:10" x14ac:dyDescent="0.35">
      <c r="A14" s="9" t="s">
        <v>660</v>
      </c>
      <c r="B14" s="3">
        <v>2104139.19</v>
      </c>
      <c r="E14" s="9" t="s">
        <v>652</v>
      </c>
      <c r="F14" s="3">
        <v>911292.89000000025</v>
      </c>
      <c r="G14" s="3">
        <v>3719387.419999999</v>
      </c>
      <c r="H14" s="6">
        <v>0.24501155354233051</v>
      </c>
    </row>
    <row r="15" spans="1:10" x14ac:dyDescent="0.35">
      <c r="A15" s="9" t="s">
        <v>661</v>
      </c>
      <c r="B15" s="3">
        <v>1776685.28</v>
      </c>
      <c r="E15" s="9" t="s">
        <v>653</v>
      </c>
      <c r="F15" s="3">
        <v>620039.70999999985</v>
      </c>
      <c r="G15" s="3">
        <v>2523474.4799999995</v>
      </c>
      <c r="H15" s="6">
        <v>0.24570873013148126</v>
      </c>
    </row>
    <row r="16" spans="1:10" x14ac:dyDescent="0.35">
      <c r="A16" s="9" t="s">
        <v>649</v>
      </c>
      <c r="B16" s="3">
        <v>38226408.200000003</v>
      </c>
      <c r="E16" s="9" t="s">
        <v>654</v>
      </c>
      <c r="F16" s="3">
        <v>872236.02999999991</v>
      </c>
      <c r="G16" s="3">
        <v>3207735.46</v>
      </c>
      <c r="H16" s="6">
        <v>0.27191644724967434</v>
      </c>
    </row>
    <row r="17" spans="5:8" x14ac:dyDescent="0.35">
      <c r="E17" s="9" t="s">
        <v>655</v>
      </c>
      <c r="F17" s="3">
        <v>663724.99</v>
      </c>
      <c r="G17" s="3">
        <v>2574869.9699999997</v>
      </c>
      <c r="H17" s="6">
        <v>0.2577702943189788</v>
      </c>
    </row>
    <row r="18" spans="5:8" x14ac:dyDescent="0.35">
      <c r="E18" s="9" t="s">
        <v>656</v>
      </c>
      <c r="F18" s="3">
        <v>657721.14000000013</v>
      </c>
      <c r="G18" s="3">
        <v>2771536.37</v>
      </c>
      <c r="H18" s="6">
        <v>0.23731283021193048</v>
      </c>
    </row>
    <row r="19" spans="5:8" x14ac:dyDescent="0.35">
      <c r="E19" s="9" t="s">
        <v>657</v>
      </c>
      <c r="F19" s="3">
        <v>1367333.3299999998</v>
      </c>
      <c r="G19" s="3">
        <v>5277575.78</v>
      </c>
      <c r="H19" s="6">
        <v>0.25908359955373295</v>
      </c>
    </row>
    <row r="20" spans="5:8" x14ac:dyDescent="0.35">
      <c r="E20" s="9" t="s">
        <v>658</v>
      </c>
      <c r="F20" s="3">
        <v>804359.64999999979</v>
      </c>
      <c r="G20" s="3">
        <v>3176045.62</v>
      </c>
      <c r="H20" s="6">
        <v>0.25325821673808319</v>
      </c>
    </row>
    <row r="21" spans="5:8" x14ac:dyDescent="0.35">
      <c r="E21" s="9" t="s">
        <v>659</v>
      </c>
      <c r="F21" s="3">
        <v>1244307.0999999999</v>
      </c>
      <c r="G21" s="3">
        <v>5437317.580000001</v>
      </c>
      <c r="H21" s="6">
        <v>0.22884576478977703</v>
      </c>
    </row>
    <row r="22" spans="5:8" x14ac:dyDescent="0.35">
      <c r="E22" s="9" t="s">
        <v>660</v>
      </c>
      <c r="F22" s="3">
        <v>468251.74999999988</v>
      </c>
      <c r="G22" s="3">
        <v>2104139.19</v>
      </c>
      <c r="H22" s="6">
        <v>0.22253839110329954</v>
      </c>
    </row>
    <row r="23" spans="5:8" x14ac:dyDescent="0.35">
      <c r="E23" s="9" t="s">
        <v>661</v>
      </c>
      <c r="F23" s="3">
        <v>444046.63999999996</v>
      </c>
      <c r="G23" s="3">
        <v>1776685.28</v>
      </c>
      <c r="H23" s="6">
        <v>0.24992982437497313</v>
      </c>
    </row>
    <row r="24" spans="5:8" x14ac:dyDescent="0.35">
      <c r="E24" s="9" t="s">
        <v>649</v>
      </c>
      <c r="F24" s="3">
        <v>9533968.9199999999</v>
      </c>
      <c r="G24" s="3">
        <v>38226408.200000003</v>
      </c>
      <c r="H24" s="6">
        <v>0.249407918999829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1"/>
  <sheetViews>
    <sheetView zoomScale="86" zoomScaleNormal="86" workbookViewId="0">
      <pane ySplit="1" topLeftCell="A2" activePane="bottomLeft" state="frozen"/>
      <selection pane="bottomLeft" activeCell="F15" sqref="F15"/>
    </sheetView>
  </sheetViews>
  <sheetFormatPr defaultRowHeight="14.5" x14ac:dyDescent="0.35"/>
  <cols>
    <col min="1" max="2" width="14" customWidth="1"/>
    <col min="3" max="3" width="12" customWidth="1"/>
    <col min="4" max="5" width="16" customWidth="1"/>
    <col min="6" max="6" width="18" customWidth="1"/>
    <col min="7" max="7" width="10" customWidth="1"/>
    <col min="8" max="8" width="14" customWidth="1"/>
    <col min="9" max="11" width="15" customWidth="1"/>
    <col min="12" max="12" width="16" customWidth="1"/>
    <col min="13" max="13" width="16.453125" bestFit="1"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1" t="s">
        <v>647</v>
      </c>
    </row>
    <row r="2" spans="1:13" x14ac:dyDescent="0.35">
      <c r="A2" t="s">
        <v>12</v>
      </c>
      <c r="B2" s="2">
        <v>45925</v>
      </c>
      <c r="C2" t="s">
        <v>13</v>
      </c>
      <c r="D2" t="s">
        <v>14</v>
      </c>
      <c r="E2" t="s">
        <v>15</v>
      </c>
      <c r="F2" t="s">
        <v>16</v>
      </c>
      <c r="G2">
        <v>6</v>
      </c>
      <c r="H2" s="3">
        <v>267.14</v>
      </c>
      <c r="I2" s="3">
        <v>1602.84</v>
      </c>
      <c r="J2" s="3">
        <v>1264.6600000000001</v>
      </c>
      <c r="K2" s="3">
        <v>338.18</v>
      </c>
      <c r="L2" t="s">
        <v>17</v>
      </c>
      <c r="M2" s="7">
        <f>K2/I2</f>
        <v>0.21098799630655588</v>
      </c>
    </row>
    <row r="3" spans="1:13" x14ac:dyDescent="0.35">
      <c r="A3" t="s">
        <v>18</v>
      </c>
      <c r="B3" s="2">
        <v>45800</v>
      </c>
      <c r="C3" t="s">
        <v>19</v>
      </c>
      <c r="D3" t="s">
        <v>20</v>
      </c>
      <c r="E3" t="s">
        <v>21</v>
      </c>
      <c r="F3" t="s">
        <v>22</v>
      </c>
      <c r="G3">
        <v>14</v>
      </c>
      <c r="H3" s="3">
        <v>10510.77</v>
      </c>
      <c r="I3" s="3">
        <v>147150.78</v>
      </c>
      <c r="J3" s="3">
        <v>108948.18</v>
      </c>
      <c r="K3" s="3">
        <v>38202.6</v>
      </c>
      <c r="L3" t="s">
        <v>23</v>
      </c>
      <c r="M3" s="7">
        <f t="shared" ref="M3:M65" si="0">K3/I3</f>
        <v>0.25961534148850585</v>
      </c>
    </row>
    <row r="4" spans="1:13" x14ac:dyDescent="0.35">
      <c r="A4" t="s">
        <v>24</v>
      </c>
      <c r="B4" s="2">
        <v>45985</v>
      </c>
      <c r="C4" t="s">
        <v>13</v>
      </c>
      <c r="D4" t="s">
        <v>25</v>
      </c>
      <c r="E4" t="s">
        <v>26</v>
      </c>
      <c r="F4" t="s">
        <v>27</v>
      </c>
      <c r="G4">
        <v>7</v>
      </c>
      <c r="H4" s="3">
        <v>11198.42</v>
      </c>
      <c r="I4" s="3">
        <v>78388.94</v>
      </c>
      <c r="J4" s="3">
        <v>61875.25</v>
      </c>
      <c r="K4" s="3">
        <v>16513.689999999999</v>
      </c>
      <c r="L4" t="s">
        <v>17</v>
      </c>
      <c r="M4" s="7">
        <f t="shared" si="0"/>
        <v>0.2106635196240694</v>
      </c>
    </row>
    <row r="5" spans="1:13" x14ac:dyDescent="0.35">
      <c r="A5" t="s">
        <v>28</v>
      </c>
      <c r="B5" s="2">
        <v>46009</v>
      </c>
      <c r="C5" t="s">
        <v>29</v>
      </c>
      <c r="D5" t="s">
        <v>30</v>
      </c>
      <c r="E5" t="s">
        <v>26</v>
      </c>
      <c r="F5" t="s">
        <v>31</v>
      </c>
      <c r="G5">
        <v>10</v>
      </c>
      <c r="H5" s="3">
        <v>44555.78</v>
      </c>
      <c r="I5" s="3">
        <v>445557.8</v>
      </c>
      <c r="J5" s="3">
        <v>330492.17</v>
      </c>
      <c r="K5" s="3">
        <v>115065.63</v>
      </c>
      <c r="L5" t="s">
        <v>23</v>
      </c>
      <c r="M5" s="7">
        <f t="shared" si="0"/>
        <v>0.25825073649254937</v>
      </c>
    </row>
    <row r="6" spans="1:13" x14ac:dyDescent="0.35">
      <c r="A6" t="s">
        <v>32</v>
      </c>
      <c r="B6" s="2">
        <v>45985</v>
      </c>
      <c r="C6" t="s">
        <v>29</v>
      </c>
      <c r="D6" t="s">
        <v>33</v>
      </c>
      <c r="E6" t="s">
        <v>15</v>
      </c>
      <c r="F6" t="s">
        <v>34</v>
      </c>
      <c r="G6">
        <v>14</v>
      </c>
      <c r="H6" s="3">
        <v>117.83</v>
      </c>
      <c r="I6" s="3">
        <v>1649.62</v>
      </c>
      <c r="J6" s="3">
        <v>1043.22</v>
      </c>
      <c r="K6" s="3">
        <v>606.4</v>
      </c>
      <c r="L6" t="s">
        <v>17</v>
      </c>
      <c r="M6" s="7">
        <f t="shared" si="0"/>
        <v>0.36759981086553267</v>
      </c>
    </row>
    <row r="7" spans="1:13" x14ac:dyDescent="0.35">
      <c r="A7" t="s">
        <v>35</v>
      </c>
      <c r="B7" s="2">
        <v>45839</v>
      </c>
      <c r="C7" t="s">
        <v>19</v>
      </c>
      <c r="D7" t="s">
        <v>36</v>
      </c>
      <c r="E7" t="s">
        <v>15</v>
      </c>
      <c r="F7" t="s">
        <v>37</v>
      </c>
      <c r="G7">
        <v>1</v>
      </c>
      <c r="H7" s="3">
        <v>381.82</v>
      </c>
      <c r="I7" s="3">
        <v>381.82</v>
      </c>
      <c r="J7" s="3">
        <v>258.62</v>
      </c>
      <c r="K7" s="3">
        <v>123.2</v>
      </c>
      <c r="L7" t="s">
        <v>17</v>
      </c>
      <c r="M7" s="7">
        <f t="shared" si="0"/>
        <v>0.32266513016604687</v>
      </c>
    </row>
    <row r="8" spans="1:13" x14ac:dyDescent="0.35">
      <c r="A8" t="s">
        <v>38</v>
      </c>
      <c r="B8" s="2">
        <v>45767</v>
      </c>
      <c r="C8" t="s">
        <v>29</v>
      </c>
      <c r="D8" t="s">
        <v>39</v>
      </c>
      <c r="E8" t="s">
        <v>15</v>
      </c>
      <c r="F8" t="s">
        <v>34</v>
      </c>
      <c r="G8">
        <v>9</v>
      </c>
      <c r="H8" s="3">
        <v>109.7</v>
      </c>
      <c r="I8" s="3">
        <v>987.3</v>
      </c>
      <c r="J8" s="3">
        <v>677.4</v>
      </c>
      <c r="K8" s="3">
        <v>309.89999999999998</v>
      </c>
      <c r="L8" t="s">
        <v>17</v>
      </c>
      <c r="M8" s="7">
        <f t="shared" si="0"/>
        <v>0.31388635673047705</v>
      </c>
    </row>
    <row r="9" spans="1:13" x14ac:dyDescent="0.35">
      <c r="A9" t="s">
        <v>40</v>
      </c>
      <c r="B9" s="2">
        <v>45967</v>
      </c>
      <c r="C9" t="s">
        <v>29</v>
      </c>
      <c r="D9" t="s">
        <v>14</v>
      </c>
      <c r="E9" t="s">
        <v>15</v>
      </c>
      <c r="F9" t="s">
        <v>16</v>
      </c>
      <c r="G9">
        <v>11</v>
      </c>
      <c r="H9" s="3">
        <v>234.39</v>
      </c>
      <c r="I9" s="3">
        <v>2578.29</v>
      </c>
      <c r="J9" s="3">
        <v>1656.78</v>
      </c>
      <c r="K9" s="3">
        <v>921.51</v>
      </c>
      <c r="L9" t="s">
        <v>17</v>
      </c>
      <c r="M9" s="7">
        <f t="shared" si="0"/>
        <v>0.35741130749450217</v>
      </c>
    </row>
    <row r="10" spans="1:13" x14ac:dyDescent="0.35">
      <c r="A10" t="s">
        <v>41</v>
      </c>
      <c r="B10" s="2">
        <v>45954</v>
      </c>
      <c r="C10" t="s">
        <v>42</v>
      </c>
      <c r="D10" t="s">
        <v>30</v>
      </c>
      <c r="E10" t="s">
        <v>26</v>
      </c>
      <c r="F10" t="s">
        <v>31</v>
      </c>
      <c r="G10">
        <v>12</v>
      </c>
      <c r="H10" s="3">
        <v>40690.230000000003</v>
      </c>
      <c r="I10" s="3">
        <v>488282.76</v>
      </c>
      <c r="J10" s="3">
        <v>389998.87</v>
      </c>
      <c r="K10" s="3">
        <v>98283.89</v>
      </c>
      <c r="L10" t="s">
        <v>23</v>
      </c>
      <c r="M10" s="7">
        <f t="shared" si="0"/>
        <v>0.20128478425083041</v>
      </c>
    </row>
    <row r="11" spans="1:13" x14ac:dyDescent="0.35">
      <c r="A11" t="s">
        <v>43</v>
      </c>
      <c r="B11" s="2">
        <v>45982</v>
      </c>
      <c r="C11" t="s">
        <v>19</v>
      </c>
      <c r="D11" t="s">
        <v>44</v>
      </c>
      <c r="E11" t="s">
        <v>15</v>
      </c>
      <c r="F11" t="s">
        <v>16</v>
      </c>
      <c r="G11">
        <v>3</v>
      </c>
      <c r="H11" s="3">
        <v>266.14999999999998</v>
      </c>
      <c r="I11" s="3">
        <v>798.45</v>
      </c>
      <c r="J11" s="3">
        <v>632.11</v>
      </c>
      <c r="K11" s="3">
        <v>166.34</v>
      </c>
      <c r="L11" t="s">
        <v>23</v>
      </c>
      <c r="M11" s="7">
        <f t="shared" si="0"/>
        <v>0.20832863673367147</v>
      </c>
    </row>
    <row r="12" spans="1:13" x14ac:dyDescent="0.35">
      <c r="A12" t="s">
        <v>45</v>
      </c>
      <c r="B12" s="2">
        <v>45668</v>
      </c>
      <c r="C12" t="s">
        <v>29</v>
      </c>
      <c r="D12" t="s">
        <v>33</v>
      </c>
      <c r="E12" t="s">
        <v>46</v>
      </c>
      <c r="F12" t="s">
        <v>47</v>
      </c>
      <c r="G12">
        <v>19</v>
      </c>
      <c r="H12" s="3">
        <v>647.77</v>
      </c>
      <c r="I12" s="3">
        <v>12307.63</v>
      </c>
      <c r="J12" s="3">
        <v>8172.13</v>
      </c>
      <c r="K12" s="3">
        <v>4135.5</v>
      </c>
      <c r="L12" t="s">
        <v>23</v>
      </c>
      <c r="M12" s="7">
        <f t="shared" si="0"/>
        <v>0.33601107605607256</v>
      </c>
    </row>
    <row r="13" spans="1:13" x14ac:dyDescent="0.35">
      <c r="A13" t="s">
        <v>48</v>
      </c>
      <c r="B13" s="2">
        <v>45735</v>
      </c>
      <c r="C13" t="s">
        <v>19</v>
      </c>
      <c r="D13" t="s">
        <v>44</v>
      </c>
      <c r="E13" t="s">
        <v>26</v>
      </c>
      <c r="F13" t="s">
        <v>49</v>
      </c>
      <c r="G13">
        <v>11</v>
      </c>
      <c r="H13" s="3">
        <v>1617.56</v>
      </c>
      <c r="I13" s="3">
        <v>17793.16</v>
      </c>
      <c r="J13" s="3">
        <v>11242.9</v>
      </c>
      <c r="K13" s="3">
        <v>6550.26</v>
      </c>
      <c r="L13" t="s">
        <v>23</v>
      </c>
      <c r="M13" s="7">
        <f t="shared" si="0"/>
        <v>0.36813359740484547</v>
      </c>
    </row>
    <row r="14" spans="1:13" x14ac:dyDescent="0.35">
      <c r="A14" t="s">
        <v>50</v>
      </c>
      <c r="B14" s="2">
        <v>45705</v>
      </c>
      <c r="C14" t="s">
        <v>42</v>
      </c>
      <c r="D14" t="s">
        <v>14</v>
      </c>
      <c r="E14" t="s">
        <v>46</v>
      </c>
      <c r="F14" t="s">
        <v>51</v>
      </c>
      <c r="G14">
        <v>3</v>
      </c>
      <c r="H14" s="3">
        <v>3261.67</v>
      </c>
      <c r="I14" s="3">
        <v>9785.01</v>
      </c>
      <c r="J14" s="3">
        <v>7341.97</v>
      </c>
      <c r="K14" s="3">
        <v>2443.04</v>
      </c>
      <c r="L14" t="s">
        <v>52</v>
      </c>
      <c r="M14" s="7">
        <f t="shared" si="0"/>
        <v>0.24967169169985517</v>
      </c>
    </row>
    <row r="15" spans="1:13" x14ac:dyDescent="0.35">
      <c r="A15" t="s">
        <v>53</v>
      </c>
      <c r="B15" s="2">
        <v>45773</v>
      </c>
      <c r="C15" t="s">
        <v>42</v>
      </c>
      <c r="D15" t="s">
        <v>54</v>
      </c>
      <c r="E15" t="s">
        <v>21</v>
      </c>
      <c r="F15" t="s">
        <v>22</v>
      </c>
      <c r="G15">
        <v>2</v>
      </c>
      <c r="H15" s="3">
        <v>11654.18</v>
      </c>
      <c r="I15" s="3">
        <v>23308.36</v>
      </c>
      <c r="J15" s="3">
        <v>17174.419999999998</v>
      </c>
      <c r="K15" s="3">
        <v>6133.94</v>
      </c>
      <c r="L15" t="s">
        <v>23</v>
      </c>
      <c r="M15" s="7">
        <f t="shared" si="0"/>
        <v>0.26316480438778189</v>
      </c>
    </row>
    <row r="16" spans="1:13" x14ac:dyDescent="0.35">
      <c r="A16" t="s">
        <v>55</v>
      </c>
      <c r="B16" s="2">
        <v>45907</v>
      </c>
      <c r="C16" t="s">
        <v>29</v>
      </c>
      <c r="D16" t="s">
        <v>39</v>
      </c>
      <c r="E16" t="s">
        <v>46</v>
      </c>
      <c r="F16" t="s">
        <v>47</v>
      </c>
      <c r="G16">
        <v>15</v>
      </c>
      <c r="H16" s="3">
        <v>550.22</v>
      </c>
      <c r="I16" s="3">
        <v>8253.2999999999993</v>
      </c>
      <c r="J16" s="3">
        <v>6026.93</v>
      </c>
      <c r="K16" s="3">
        <v>2226.37</v>
      </c>
      <c r="L16" t="s">
        <v>52</v>
      </c>
      <c r="M16" s="7">
        <f t="shared" si="0"/>
        <v>0.26975512825172965</v>
      </c>
    </row>
    <row r="17" spans="1:13" x14ac:dyDescent="0.35">
      <c r="A17" t="s">
        <v>56</v>
      </c>
      <c r="B17" s="2">
        <v>45775</v>
      </c>
      <c r="C17" t="s">
        <v>13</v>
      </c>
      <c r="D17" t="s">
        <v>30</v>
      </c>
      <c r="E17" t="s">
        <v>21</v>
      </c>
      <c r="F17" t="s">
        <v>22</v>
      </c>
      <c r="G17">
        <v>20</v>
      </c>
      <c r="H17" s="3">
        <v>9968.67</v>
      </c>
      <c r="I17" s="3">
        <v>199373.4</v>
      </c>
      <c r="J17" s="3">
        <v>159235.69</v>
      </c>
      <c r="K17" s="3">
        <v>40137.71</v>
      </c>
      <c r="L17" t="s">
        <v>17</v>
      </c>
      <c r="M17" s="7">
        <f t="shared" si="0"/>
        <v>0.20131928331462473</v>
      </c>
    </row>
    <row r="18" spans="1:13" x14ac:dyDescent="0.35">
      <c r="A18" t="s">
        <v>57</v>
      </c>
      <c r="B18" s="2">
        <v>45923</v>
      </c>
      <c r="C18" t="s">
        <v>13</v>
      </c>
      <c r="D18" t="s">
        <v>20</v>
      </c>
      <c r="E18" t="s">
        <v>15</v>
      </c>
      <c r="F18" t="s">
        <v>37</v>
      </c>
      <c r="G18">
        <v>6</v>
      </c>
      <c r="H18" s="3">
        <v>386.59</v>
      </c>
      <c r="I18" s="3">
        <v>2319.54</v>
      </c>
      <c r="J18" s="3">
        <v>1747.56</v>
      </c>
      <c r="K18" s="3">
        <v>571.98</v>
      </c>
      <c r="L18" t="s">
        <v>17</v>
      </c>
      <c r="M18" s="7">
        <f t="shared" si="0"/>
        <v>0.2465919966889987</v>
      </c>
    </row>
    <row r="19" spans="1:13" x14ac:dyDescent="0.35">
      <c r="A19" t="s">
        <v>58</v>
      </c>
      <c r="B19" s="2">
        <v>45818</v>
      </c>
      <c r="C19" t="s">
        <v>42</v>
      </c>
      <c r="D19" t="s">
        <v>25</v>
      </c>
      <c r="E19" t="s">
        <v>21</v>
      </c>
      <c r="F19" t="s">
        <v>22</v>
      </c>
      <c r="G19">
        <v>14</v>
      </c>
      <c r="H19" s="3">
        <v>10760.35</v>
      </c>
      <c r="I19" s="3">
        <v>150644.9</v>
      </c>
      <c r="J19" s="3">
        <v>114785.71</v>
      </c>
      <c r="K19" s="3">
        <v>35859.19</v>
      </c>
      <c r="L19" t="s">
        <v>17</v>
      </c>
      <c r="M19" s="7">
        <f t="shared" si="0"/>
        <v>0.23803786254961173</v>
      </c>
    </row>
    <row r="20" spans="1:13" x14ac:dyDescent="0.35">
      <c r="A20" t="s">
        <v>59</v>
      </c>
      <c r="B20" s="2">
        <v>45712</v>
      </c>
      <c r="C20" t="s">
        <v>19</v>
      </c>
      <c r="D20" t="s">
        <v>44</v>
      </c>
      <c r="E20" t="s">
        <v>21</v>
      </c>
      <c r="F20" t="s">
        <v>22</v>
      </c>
      <c r="G20">
        <v>15</v>
      </c>
      <c r="H20" s="3">
        <v>10978.25</v>
      </c>
      <c r="I20" s="3">
        <v>164673.75</v>
      </c>
      <c r="J20" s="3">
        <v>122026.84</v>
      </c>
      <c r="K20" s="3">
        <v>42646.91</v>
      </c>
      <c r="L20" t="s">
        <v>17</v>
      </c>
      <c r="M20" s="7">
        <f t="shared" si="0"/>
        <v>0.25897819172758257</v>
      </c>
    </row>
    <row r="21" spans="1:13" x14ac:dyDescent="0.35">
      <c r="A21" t="s">
        <v>60</v>
      </c>
      <c r="B21" s="2">
        <v>45939</v>
      </c>
      <c r="C21" t="s">
        <v>13</v>
      </c>
      <c r="D21" t="s">
        <v>36</v>
      </c>
      <c r="E21" t="s">
        <v>26</v>
      </c>
      <c r="F21" t="s">
        <v>49</v>
      </c>
      <c r="G21">
        <v>9</v>
      </c>
      <c r="H21" s="3">
        <v>1410.73</v>
      </c>
      <c r="I21" s="3">
        <v>12696.57</v>
      </c>
      <c r="J21" s="3">
        <v>7896.82</v>
      </c>
      <c r="K21" s="3">
        <v>4799.75</v>
      </c>
      <c r="L21" t="s">
        <v>23</v>
      </c>
      <c r="M21" s="7">
        <f t="shared" si="0"/>
        <v>0.37803517012862531</v>
      </c>
    </row>
    <row r="22" spans="1:13" x14ac:dyDescent="0.35">
      <c r="A22" t="s">
        <v>61</v>
      </c>
      <c r="B22" s="2">
        <v>45830</v>
      </c>
      <c r="C22" t="s">
        <v>42</v>
      </c>
      <c r="D22" t="s">
        <v>44</v>
      </c>
      <c r="E22" t="s">
        <v>26</v>
      </c>
      <c r="F22" t="s">
        <v>49</v>
      </c>
      <c r="G22">
        <v>4</v>
      </c>
      <c r="H22" s="3">
        <v>1520.82</v>
      </c>
      <c r="I22" s="3">
        <v>6083.28</v>
      </c>
      <c r="J22" s="3">
        <v>4792.6000000000004</v>
      </c>
      <c r="K22" s="3">
        <v>1290.68</v>
      </c>
      <c r="L22" t="s">
        <v>52</v>
      </c>
      <c r="M22" s="7">
        <f t="shared" si="0"/>
        <v>0.21216843544929712</v>
      </c>
    </row>
    <row r="23" spans="1:13" x14ac:dyDescent="0.35">
      <c r="A23" t="s">
        <v>62</v>
      </c>
      <c r="B23" s="2">
        <v>45715</v>
      </c>
      <c r="C23" t="s">
        <v>13</v>
      </c>
      <c r="D23" t="s">
        <v>14</v>
      </c>
      <c r="E23" t="s">
        <v>21</v>
      </c>
      <c r="F23" t="s">
        <v>63</v>
      </c>
      <c r="G23">
        <v>1</v>
      </c>
      <c r="H23" s="3">
        <v>6501.17</v>
      </c>
      <c r="I23" s="3">
        <v>6501.17</v>
      </c>
      <c r="J23" s="3">
        <v>5312.13</v>
      </c>
      <c r="K23" s="3">
        <v>1189.04</v>
      </c>
      <c r="L23" t="s">
        <v>52</v>
      </c>
      <c r="M23" s="7">
        <f t="shared" si="0"/>
        <v>0.18289630943353272</v>
      </c>
    </row>
    <row r="24" spans="1:13" x14ac:dyDescent="0.35">
      <c r="A24" t="s">
        <v>64</v>
      </c>
      <c r="B24" s="2">
        <v>45990</v>
      </c>
      <c r="C24" t="s">
        <v>19</v>
      </c>
      <c r="D24" t="s">
        <v>33</v>
      </c>
      <c r="E24" t="s">
        <v>26</v>
      </c>
      <c r="F24" t="s">
        <v>65</v>
      </c>
      <c r="G24">
        <v>2</v>
      </c>
      <c r="H24" s="3">
        <v>743.7</v>
      </c>
      <c r="I24" s="3">
        <v>1487.4</v>
      </c>
      <c r="J24" s="3">
        <v>943.54</v>
      </c>
      <c r="K24" s="3">
        <v>543.86</v>
      </c>
      <c r="L24" t="s">
        <v>17</v>
      </c>
      <c r="M24" s="7">
        <f t="shared" si="0"/>
        <v>0.36564474922683876</v>
      </c>
    </row>
    <row r="25" spans="1:13" x14ac:dyDescent="0.35">
      <c r="A25" t="s">
        <v>66</v>
      </c>
      <c r="B25" s="2">
        <v>45792</v>
      </c>
      <c r="C25" t="s">
        <v>42</v>
      </c>
      <c r="D25" t="s">
        <v>30</v>
      </c>
      <c r="E25" t="s">
        <v>15</v>
      </c>
      <c r="F25" t="s">
        <v>37</v>
      </c>
      <c r="G25">
        <v>19</v>
      </c>
      <c r="H25" s="3">
        <v>378.11</v>
      </c>
      <c r="I25" s="3">
        <v>7184.09</v>
      </c>
      <c r="J25" s="3">
        <v>6135.76</v>
      </c>
      <c r="K25" s="3">
        <v>1048.33</v>
      </c>
      <c r="L25" t="s">
        <v>23</v>
      </c>
      <c r="M25" s="7">
        <f t="shared" si="0"/>
        <v>0.14592384004097944</v>
      </c>
    </row>
    <row r="26" spans="1:13" x14ac:dyDescent="0.35">
      <c r="A26" t="s">
        <v>67</v>
      </c>
      <c r="B26" s="2">
        <v>45661</v>
      </c>
      <c r="C26" t="s">
        <v>42</v>
      </c>
      <c r="D26" t="s">
        <v>68</v>
      </c>
      <c r="E26" t="s">
        <v>26</v>
      </c>
      <c r="F26" t="s">
        <v>49</v>
      </c>
      <c r="G26">
        <v>11</v>
      </c>
      <c r="H26" s="3">
        <v>1456.14</v>
      </c>
      <c r="I26" s="3">
        <v>16017.54</v>
      </c>
      <c r="J26" s="3">
        <v>11215.79</v>
      </c>
      <c r="K26" s="3">
        <v>4801.75</v>
      </c>
      <c r="L26" t="s">
        <v>17</v>
      </c>
      <c r="M26" s="7">
        <f t="shared" si="0"/>
        <v>0.29978074036337665</v>
      </c>
    </row>
    <row r="27" spans="1:13" x14ac:dyDescent="0.35">
      <c r="A27" t="s">
        <v>69</v>
      </c>
      <c r="B27" s="2">
        <v>45782</v>
      </c>
      <c r="C27" t="s">
        <v>13</v>
      </c>
      <c r="D27" t="s">
        <v>14</v>
      </c>
      <c r="E27" t="s">
        <v>46</v>
      </c>
      <c r="F27" t="s">
        <v>70</v>
      </c>
      <c r="G27">
        <v>9</v>
      </c>
      <c r="H27" s="3">
        <v>2100.9899999999998</v>
      </c>
      <c r="I27" s="3">
        <v>18908.91</v>
      </c>
      <c r="J27" s="3">
        <v>14813.72</v>
      </c>
      <c r="K27" s="3">
        <v>4095.19</v>
      </c>
      <c r="L27" t="s">
        <v>23</v>
      </c>
      <c r="M27" s="7">
        <f t="shared" si="0"/>
        <v>0.21657462011295206</v>
      </c>
    </row>
    <row r="28" spans="1:13" x14ac:dyDescent="0.35">
      <c r="A28" t="s">
        <v>71</v>
      </c>
      <c r="B28" s="2">
        <v>46008</v>
      </c>
      <c r="C28" t="s">
        <v>29</v>
      </c>
      <c r="D28" t="s">
        <v>36</v>
      </c>
      <c r="E28" t="s">
        <v>15</v>
      </c>
      <c r="F28" t="s">
        <v>34</v>
      </c>
      <c r="G28">
        <v>7</v>
      </c>
      <c r="H28" s="3">
        <v>121.33</v>
      </c>
      <c r="I28" s="3">
        <v>849.31</v>
      </c>
      <c r="J28" s="3">
        <v>725.3</v>
      </c>
      <c r="K28" s="3">
        <v>124.01</v>
      </c>
      <c r="L28" t="s">
        <v>17</v>
      </c>
      <c r="M28" s="7">
        <f t="shared" si="0"/>
        <v>0.14601264555933641</v>
      </c>
    </row>
    <row r="29" spans="1:13" x14ac:dyDescent="0.35">
      <c r="A29" t="s">
        <v>72</v>
      </c>
      <c r="B29" s="2">
        <v>45735</v>
      </c>
      <c r="C29" t="s">
        <v>42</v>
      </c>
      <c r="D29" t="s">
        <v>68</v>
      </c>
      <c r="E29" t="s">
        <v>46</v>
      </c>
      <c r="F29" t="s">
        <v>51</v>
      </c>
      <c r="G29">
        <v>17</v>
      </c>
      <c r="H29" s="3">
        <v>3511.81</v>
      </c>
      <c r="I29" s="3">
        <v>59700.77</v>
      </c>
      <c r="J29" s="3">
        <v>48205.03</v>
      </c>
      <c r="K29" s="3">
        <v>11495.74</v>
      </c>
      <c r="L29" t="s">
        <v>17</v>
      </c>
      <c r="M29" s="7">
        <f t="shared" si="0"/>
        <v>0.1925559754086924</v>
      </c>
    </row>
    <row r="30" spans="1:13" x14ac:dyDescent="0.35">
      <c r="A30" t="s">
        <v>73</v>
      </c>
      <c r="B30" s="2">
        <v>45736</v>
      </c>
      <c r="C30" t="s">
        <v>29</v>
      </c>
      <c r="D30" t="s">
        <v>25</v>
      </c>
      <c r="E30" t="s">
        <v>15</v>
      </c>
      <c r="F30" t="s">
        <v>16</v>
      </c>
      <c r="G30">
        <v>10</v>
      </c>
      <c r="H30" s="3">
        <v>277.62</v>
      </c>
      <c r="I30" s="3">
        <v>2776.2</v>
      </c>
      <c r="J30" s="3">
        <v>1992.52</v>
      </c>
      <c r="K30" s="3">
        <v>783.68</v>
      </c>
      <c r="L30" t="s">
        <v>17</v>
      </c>
      <c r="M30" s="7">
        <f t="shared" si="0"/>
        <v>0.28228513795836035</v>
      </c>
    </row>
    <row r="31" spans="1:13" x14ac:dyDescent="0.35">
      <c r="A31" t="s">
        <v>74</v>
      </c>
      <c r="B31" s="2">
        <v>45778</v>
      </c>
      <c r="C31" t="s">
        <v>29</v>
      </c>
      <c r="D31" t="s">
        <v>25</v>
      </c>
      <c r="E31" t="s">
        <v>21</v>
      </c>
      <c r="F31" t="s">
        <v>22</v>
      </c>
      <c r="G31">
        <v>18</v>
      </c>
      <c r="H31" s="3">
        <v>10678.49</v>
      </c>
      <c r="I31" s="3">
        <v>192212.82</v>
      </c>
      <c r="J31" s="3">
        <v>154142.47</v>
      </c>
      <c r="K31" s="3">
        <v>38070.35</v>
      </c>
      <c r="L31" t="s">
        <v>17</v>
      </c>
      <c r="M31" s="7">
        <f t="shared" si="0"/>
        <v>0.19806353187055889</v>
      </c>
    </row>
    <row r="32" spans="1:13" x14ac:dyDescent="0.35">
      <c r="A32" t="s">
        <v>75</v>
      </c>
      <c r="B32" s="2">
        <v>45723</v>
      </c>
      <c r="C32" t="s">
        <v>42</v>
      </c>
      <c r="D32" t="s">
        <v>44</v>
      </c>
      <c r="E32" t="s">
        <v>46</v>
      </c>
      <c r="F32" t="s">
        <v>51</v>
      </c>
      <c r="G32">
        <v>17</v>
      </c>
      <c r="H32" s="3">
        <v>3014.48</v>
      </c>
      <c r="I32" s="3">
        <v>51246.16</v>
      </c>
      <c r="J32" s="3">
        <v>31858.87</v>
      </c>
      <c r="K32" s="3">
        <v>19387.29</v>
      </c>
      <c r="L32" t="s">
        <v>52</v>
      </c>
      <c r="M32" s="7">
        <f t="shared" si="0"/>
        <v>0.37831693145398598</v>
      </c>
    </row>
    <row r="33" spans="1:13" x14ac:dyDescent="0.35">
      <c r="A33" t="s">
        <v>76</v>
      </c>
      <c r="B33" s="2">
        <v>45829</v>
      </c>
      <c r="C33" t="s">
        <v>13</v>
      </c>
      <c r="D33" t="s">
        <v>68</v>
      </c>
      <c r="E33" t="s">
        <v>46</v>
      </c>
      <c r="F33" t="s">
        <v>70</v>
      </c>
      <c r="G33">
        <v>17</v>
      </c>
      <c r="H33" s="3">
        <v>2163.06</v>
      </c>
      <c r="I33" s="3">
        <v>36772.019999999997</v>
      </c>
      <c r="J33" s="3">
        <v>24301.89</v>
      </c>
      <c r="K33" s="3">
        <v>12470.13</v>
      </c>
      <c r="L33" t="s">
        <v>23</v>
      </c>
      <c r="M33" s="7">
        <f t="shared" si="0"/>
        <v>0.3391200700967747</v>
      </c>
    </row>
    <row r="34" spans="1:13" x14ac:dyDescent="0.35">
      <c r="A34" t="s">
        <v>77</v>
      </c>
      <c r="B34" s="2">
        <v>45695</v>
      </c>
      <c r="C34" t="s">
        <v>42</v>
      </c>
      <c r="D34" t="s">
        <v>30</v>
      </c>
      <c r="E34" t="s">
        <v>46</v>
      </c>
      <c r="F34" t="s">
        <v>51</v>
      </c>
      <c r="G34">
        <v>5</v>
      </c>
      <c r="H34" s="3">
        <v>3558.62</v>
      </c>
      <c r="I34" s="3">
        <v>17793.099999999999</v>
      </c>
      <c r="J34" s="3">
        <v>14206.71</v>
      </c>
      <c r="K34" s="3">
        <v>3586.39</v>
      </c>
      <c r="L34" t="s">
        <v>23</v>
      </c>
      <c r="M34" s="7">
        <f t="shared" si="0"/>
        <v>0.20156071735672818</v>
      </c>
    </row>
    <row r="35" spans="1:13" x14ac:dyDescent="0.35">
      <c r="A35" t="s">
        <v>78</v>
      </c>
      <c r="B35" s="2">
        <v>45854</v>
      </c>
      <c r="C35" t="s">
        <v>42</v>
      </c>
      <c r="D35" t="s">
        <v>54</v>
      </c>
      <c r="E35" t="s">
        <v>21</v>
      </c>
      <c r="F35" t="s">
        <v>22</v>
      </c>
      <c r="G35">
        <v>4</v>
      </c>
      <c r="H35" s="3">
        <v>12196.11</v>
      </c>
      <c r="I35" s="3">
        <v>48784.44</v>
      </c>
      <c r="J35" s="3">
        <v>39084.93</v>
      </c>
      <c r="K35" s="3">
        <v>9699.51</v>
      </c>
      <c r="L35" t="s">
        <v>17</v>
      </c>
      <c r="M35" s="7">
        <f t="shared" si="0"/>
        <v>0.19882384629197342</v>
      </c>
    </row>
    <row r="36" spans="1:13" x14ac:dyDescent="0.35">
      <c r="A36" t="s">
        <v>79</v>
      </c>
      <c r="B36" s="2">
        <v>45978</v>
      </c>
      <c r="C36" t="s">
        <v>42</v>
      </c>
      <c r="D36" t="s">
        <v>44</v>
      </c>
      <c r="E36" t="s">
        <v>21</v>
      </c>
      <c r="F36" t="s">
        <v>63</v>
      </c>
      <c r="G36">
        <v>18</v>
      </c>
      <c r="H36" s="3">
        <v>7090.69</v>
      </c>
      <c r="I36" s="3">
        <v>127632.42</v>
      </c>
      <c r="J36" s="3">
        <v>104839.74</v>
      </c>
      <c r="K36" s="3">
        <v>22792.68</v>
      </c>
      <c r="L36" t="s">
        <v>23</v>
      </c>
      <c r="M36" s="7">
        <f t="shared" si="0"/>
        <v>0.1785806458891871</v>
      </c>
    </row>
    <row r="37" spans="1:13" x14ac:dyDescent="0.35">
      <c r="A37" t="s">
        <v>80</v>
      </c>
      <c r="B37" s="2">
        <v>45850</v>
      </c>
      <c r="C37" t="s">
        <v>42</v>
      </c>
      <c r="D37" t="s">
        <v>68</v>
      </c>
      <c r="E37" t="s">
        <v>15</v>
      </c>
      <c r="F37" t="s">
        <v>16</v>
      </c>
      <c r="G37">
        <v>7</v>
      </c>
      <c r="H37" s="3">
        <v>273.47000000000003</v>
      </c>
      <c r="I37" s="3">
        <v>1914.29</v>
      </c>
      <c r="J37" s="3">
        <v>1192.33</v>
      </c>
      <c r="K37" s="3">
        <v>721.96</v>
      </c>
      <c r="L37" t="s">
        <v>17</v>
      </c>
      <c r="M37" s="7">
        <f t="shared" si="0"/>
        <v>0.37714243923334501</v>
      </c>
    </row>
    <row r="38" spans="1:13" x14ac:dyDescent="0.35">
      <c r="A38" t="s">
        <v>81</v>
      </c>
      <c r="B38" s="2">
        <v>45956</v>
      </c>
      <c r="C38" t="s">
        <v>19</v>
      </c>
      <c r="D38" t="s">
        <v>30</v>
      </c>
      <c r="E38" t="s">
        <v>46</v>
      </c>
      <c r="F38" t="s">
        <v>51</v>
      </c>
      <c r="G38">
        <v>14</v>
      </c>
      <c r="H38" s="3">
        <v>3309.47</v>
      </c>
      <c r="I38" s="3">
        <v>46332.58</v>
      </c>
      <c r="J38" s="3">
        <v>36391.29</v>
      </c>
      <c r="K38" s="3">
        <v>9941.2900000000009</v>
      </c>
      <c r="L38" t="s">
        <v>23</v>
      </c>
      <c r="M38" s="7">
        <f t="shared" si="0"/>
        <v>0.21456370441706463</v>
      </c>
    </row>
    <row r="39" spans="1:13" x14ac:dyDescent="0.35">
      <c r="A39" t="s">
        <v>82</v>
      </c>
      <c r="B39" s="2">
        <v>45741</v>
      </c>
      <c r="C39" t="s">
        <v>13</v>
      </c>
      <c r="D39" t="s">
        <v>44</v>
      </c>
      <c r="E39" t="s">
        <v>21</v>
      </c>
      <c r="F39" t="s">
        <v>63</v>
      </c>
      <c r="G39">
        <v>12</v>
      </c>
      <c r="H39" s="3">
        <v>6904.12</v>
      </c>
      <c r="I39" s="3">
        <v>82849.440000000002</v>
      </c>
      <c r="J39" s="3">
        <v>65428.46</v>
      </c>
      <c r="K39" s="3">
        <v>17420.98</v>
      </c>
      <c r="L39" t="s">
        <v>52</v>
      </c>
      <c r="M39" s="7">
        <f t="shared" si="0"/>
        <v>0.21027275501198317</v>
      </c>
    </row>
    <row r="40" spans="1:13" x14ac:dyDescent="0.35">
      <c r="A40" t="s">
        <v>83</v>
      </c>
      <c r="B40" s="2">
        <v>45775</v>
      </c>
      <c r="C40" t="s">
        <v>13</v>
      </c>
      <c r="D40" t="s">
        <v>68</v>
      </c>
      <c r="E40" t="s">
        <v>46</v>
      </c>
      <c r="F40" t="s">
        <v>47</v>
      </c>
      <c r="G40">
        <v>7</v>
      </c>
      <c r="H40" s="3">
        <v>586.86</v>
      </c>
      <c r="I40" s="3">
        <v>4108.0200000000004</v>
      </c>
      <c r="J40" s="3">
        <v>3040.54</v>
      </c>
      <c r="K40" s="3">
        <v>1067.48</v>
      </c>
      <c r="L40" t="s">
        <v>52</v>
      </c>
      <c r="M40" s="7">
        <f t="shared" si="0"/>
        <v>0.25985267841928711</v>
      </c>
    </row>
    <row r="41" spans="1:13" x14ac:dyDescent="0.35">
      <c r="A41" t="s">
        <v>84</v>
      </c>
      <c r="B41" s="2">
        <v>45957</v>
      </c>
      <c r="C41" t="s">
        <v>13</v>
      </c>
      <c r="D41" t="s">
        <v>36</v>
      </c>
      <c r="E41" t="s">
        <v>26</v>
      </c>
      <c r="F41" t="s">
        <v>27</v>
      </c>
      <c r="G41">
        <v>8</v>
      </c>
      <c r="H41" s="3">
        <v>13119.14</v>
      </c>
      <c r="I41" s="3">
        <v>104953.12</v>
      </c>
      <c r="J41" s="3">
        <v>84415.54</v>
      </c>
      <c r="K41" s="3">
        <v>20537.580000000002</v>
      </c>
      <c r="L41" t="s">
        <v>52</v>
      </c>
      <c r="M41" s="7">
        <f t="shared" si="0"/>
        <v>0.19568336796466845</v>
      </c>
    </row>
    <row r="42" spans="1:13" x14ac:dyDescent="0.35">
      <c r="A42" t="s">
        <v>85</v>
      </c>
      <c r="B42" s="2">
        <v>46008</v>
      </c>
      <c r="C42" t="s">
        <v>13</v>
      </c>
      <c r="D42" t="s">
        <v>33</v>
      </c>
      <c r="E42" t="s">
        <v>46</v>
      </c>
      <c r="F42" t="s">
        <v>51</v>
      </c>
      <c r="G42">
        <v>8</v>
      </c>
      <c r="H42" s="3">
        <v>3109.99</v>
      </c>
      <c r="I42" s="3">
        <v>24879.919999999998</v>
      </c>
      <c r="J42" s="3">
        <v>17729.740000000002</v>
      </c>
      <c r="K42" s="3">
        <v>7150.18</v>
      </c>
      <c r="L42" t="s">
        <v>52</v>
      </c>
      <c r="M42" s="7">
        <f t="shared" si="0"/>
        <v>0.28738758002437309</v>
      </c>
    </row>
    <row r="43" spans="1:13" x14ac:dyDescent="0.35">
      <c r="A43" t="s">
        <v>86</v>
      </c>
      <c r="B43" s="2">
        <v>45746</v>
      </c>
      <c r="C43" t="s">
        <v>13</v>
      </c>
      <c r="D43" t="s">
        <v>20</v>
      </c>
      <c r="E43" t="s">
        <v>46</v>
      </c>
      <c r="F43" t="s">
        <v>70</v>
      </c>
      <c r="G43">
        <v>14</v>
      </c>
      <c r="H43" s="3">
        <v>2402.61</v>
      </c>
      <c r="I43" s="3">
        <v>33636.54</v>
      </c>
      <c r="J43" s="3">
        <v>26105.43</v>
      </c>
      <c r="K43" s="3">
        <v>7531.11</v>
      </c>
      <c r="L43" t="s">
        <v>52</v>
      </c>
      <c r="M43" s="7">
        <f t="shared" si="0"/>
        <v>0.22389669092005299</v>
      </c>
    </row>
    <row r="44" spans="1:13" x14ac:dyDescent="0.35">
      <c r="A44" t="s">
        <v>87</v>
      </c>
      <c r="B44" s="2">
        <v>45752</v>
      </c>
      <c r="C44" t="s">
        <v>13</v>
      </c>
      <c r="D44" t="s">
        <v>20</v>
      </c>
      <c r="E44" t="s">
        <v>15</v>
      </c>
      <c r="F44" t="s">
        <v>16</v>
      </c>
      <c r="G44">
        <v>5</v>
      </c>
      <c r="H44" s="3">
        <v>235.93</v>
      </c>
      <c r="I44" s="3">
        <v>1179.6500000000001</v>
      </c>
      <c r="J44" s="3">
        <v>804.02</v>
      </c>
      <c r="K44" s="3">
        <v>375.63</v>
      </c>
      <c r="L44" t="s">
        <v>52</v>
      </c>
      <c r="M44" s="7">
        <f t="shared" si="0"/>
        <v>0.31842495655491032</v>
      </c>
    </row>
    <row r="45" spans="1:13" x14ac:dyDescent="0.35">
      <c r="A45" t="s">
        <v>88</v>
      </c>
      <c r="B45" s="2">
        <v>45721</v>
      </c>
      <c r="C45" t="s">
        <v>42</v>
      </c>
      <c r="D45" t="s">
        <v>36</v>
      </c>
      <c r="E45" t="s">
        <v>26</v>
      </c>
      <c r="F45" t="s">
        <v>31</v>
      </c>
      <c r="G45">
        <v>10</v>
      </c>
      <c r="H45" s="3">
        <v>48899.22</v>
      </c>
      <c r="I45" s="3">
        <v>488992.2</v>
      </c>
      <c r="J45" s="3">
        <v>379033.93</v>
      </c>
      <c r="K45" s="3">
        <v>109958.27</v>
      </c>
      <c r="L45" t="s">
        <v>17</v>
      </c>
      <c r="M45" s="7">
        <f t="shared" si="0"/>
        <v>0.22486712466988226</v>
      </c>
    </row>
    <row r="46" spans="1:13" x14ac:dyDescent="0.35">
      <c r="A46" t="s">
        <v>89</v>
      </c>
      <c r="B46" s="2">
        <v>45817</v>
      </c>
      <c r="C46" t="s">
        <v>13</v>
      </c>
      <c r="D46" t="s">
        <v>39</v>
      </c>
      <c r="E46" t="s">
        <v>15</v>
      </c>
      <c r="F46" t="s">
        <v>37</v>
      </c>
      <c r="G46">
        <v>2</v>
      </c>
      <c r="H46" s="3">
        <v>374.82</v>
      </c>
      <c r="I46" s="3">
        <v>749.64</v>
      </c>
      <c r="J46" s="3">
        <v>470.37</v>
      </c>
      <c r="K46" s="3">
        <v>279.27</v>
      </c>
      <c r="L46" t="s">
        <v>17</v>
      </c>
      <c r="M46" s="7">
        <f t="shared" si="0"/>
        <v>0.3725388186329438</v>
      </c>
    </row>
    <row r="47" spans="1:13" x14ac:dyDescent="0.35">
      <c r="A47" t="s">
        <v>90</v>
      </c>
      <c r="B47" s="2">
        <v>45803</v>
      </c>
      <c r="C47" t="s">
        <v>19</v>
      </c>
      <c r="D47" t="s">
        <v>20</v>
      </c>
      <c r="E47" t="s">
        <v>15</v>
      </c>
      <c r="F47" t="s">
        <v>16</v>
      </c>
      <c r="G47">
        <v>20</v>
      </c>
      <c r="H47" s="3">
        <v>244.33</v>
      </c>
      <c r="I47" s="3">
        <v>4886.6000000000004</v>
      </c>
      <c r="J47" s="3">
        <v>3594.65</v>
      </c>
      <c r="K47" s="3">
        <v>1291.95</v>
      </c>
      <c r="L47" t="s">
        <v>52</v>
      </c>
      <c r="M47" s="7">
        <f t="shared" si="0"/>
        <v>0.26438628084967053</v>
      </c>
    </row>
    <row r="48" spans="1:13" x14ac:dyDescent="0.35">
      <c r="A48" t="s">
        <v>91</v>
      </c>
      <c r="B48" s="2">
        <v>45914</v>
      </c>
      <c r="C48" t="s">
        <v>19</v>
      </c>
      <c r="D48" t="s">
        <v>20</v>
      </c>
      <c r="E48" t="s">
        <v>15</v>
      </c>
      <c r="F48" t="s">
        <v>16</v>
      </c>
      <c r="G48">
        <v>16</v>
      </c>
      <c r="H48" s="3">
        <v>249.55</v>
      </c>
      <c r="I48" s="3">
        <v>3992.8</v>
      </c>
      <c r="J48" s="3">
        <v>3244.89</v>
      </c>
      <c r="K48" s="3">
        <v>747.91</v>
      </c>
      <c r="L48" t="s">
        <v>23</v>
      </c>
      <c r="M48" s="7">
        <f t="shared" si="0"/>
        <v>0.18731466639951913</v>
      </c>
    </row>
    <row r="49" spans="1:13" x14ac:dyDescent="0.35">
      <c r="A49" t="s">
        <v>92</v>
      </c>
      <c r="B49" s="2">
        <v>45845</v>
      </c>
      <c r="C49" t="s">
        <v>29</v>
      </c>
      <c r="D49" t="s">
        <v>20</v>
      </c>
      <c r="E49" t="s">
        <v>26</v>
      </c>
      <c r="F49" t="s">
        <v>49</v>
      </c>
      <c r="G49">
        <v>17</v>
      </c>
      <c r="H49" s="3">
        <v>1609.94</v>
      </c>
      <c r="I49" s="3">
        <v>27368.98</v>
      </c>
      <c r="J49" s="3">
        <v>22562.19</v>
      </c>
      <c r="K49" s="3">
        <v>4806.79</v>
      </c>
      <c r="L49" t="s">
        <v>52</v>
      </c>
      <c r="M49" s="7">
        <f t="shared" si="0"/>
        <v>0.17562912465133884</v>
      </c>
    </row>
    <row r="50" spans="1:13" x14ac:dyDescent="0.35">
      <c r="A50" t="s">
        <v>93</v>
      </c>
      <c r="B50" s="2">
        <v>45970</v>
      </c>
      <c r="C50" t="s">
        <v>19</v>
      </c>
      <c r="D50" t="s">
        <v>20</v>
      </c>
      <c r="E50" t="s">
        <v>46</v>
      </c>
      <c r="F50" t="s">
        <v>70</v>
      </c>
      <c r="G50">
        <v>15</v>
      </c>
      <c r="H50" s="3">
        <v>2049.5</v>
      </c>
      <c r="I50" s="3">
        <v>30742.5</v>
      </c>
      <c r="J50" s="3">
        <v>20513.2</v>
      </c>
      <c r="K50" s="3">
        <v>10229.299999999999</v>
      </c>
      <c r="L50" t="s">
        <v>23</v>
      </c>
      <c r="M50" s="7">
        <f t="shared" si="0"/>
        <v>0.33274131902089937</v>
      </c>
    </row>
    <row r="51" spans="1:13" x14ac:dyDescent="0.35">
      <c r="A51" t="s">
        <v>94</v>
      </c>
      <c r="B51" s="2">
        <v>45682</v>
      </c>
      <c r="C51" t="s">
        <v>42</v>
      </c>
      <c r="D51" t="s">
        <v>20</v>
      </c>
      <c r="E51" t="s">
        <v>26</v>
      </c>
      <c r="F51" t="s">
        <v>31</v>
      </c>
      <c r="G51">
        <v>5</v>
      </c>
      <c r="H51" s="3">
        <v>45212.86</v>
      </c>
      <c r="I51" s="3">
        <v>226064.3</v>
      </c>
      <c r="J51" s="3">
        <v>156922.06</v>
      </c>
      <c r="K51" s="3">
        <v>69142.240000000005</v>
      </c>
      <c r="L51" t="s">
        <v>17</v>
      </c>
      <c r="M51" s="7">
        <f t="shared" si="0"/>
        <v>0.30585209606293434</v>
      </c>
    </row>
    <row r="52" spans="1:13" x14ac:dyDescent="0.35">
      <c r="A52" t="s">
        <v>95</v>
      </c>
      <c r="B52" s="2">
        <v>45811</v>
      </c>
      <c r="C52" t="s">
        <v>42</v>
      </c>
      <c r="D52" t="s">
        <v>54</v>
      </c>
      <c r="E52" t="s">
        <v>15</v>
      </c>
      <c r="F52" t="s">
        <v>37</v>
      </c>
      <c r="G52">
        <v>1</v>
      </c>
      <c r="H52" s="3">
        <v>348.68</v>
      </c>
      <c r="I52" s="3">
        <v>348.68</v>
      </c>
      <c r="J52" s="3">
        <v>248.3</v>
      </c>
      <c r="K52" s="3">
        <v>100.38</v>
      </c>
      <c r="L52" t="s">
        <v>17</v>
      </c>
      <c r="M52" s="7">
        <f t="shared" si="0"/>
        <v>0.28788574050705518</v>
      </c>
    </row>
    <row r="53" spans="1:13" x14ac:dyDescent="0.35">
      <c r="A53" t="s">
        <v>96</v>
      </c>
      <c r="B53" s="2">
        <v>45894</v>
      </c>
      <c r="C53" t="s">
        <v>19</v>
      </c>
      <c r="D53" t="s">
        <v>30</v>
      </c>
      <c r="E53" t="s">
        <v>15</v>
      </c>
      <c r="F53" t="s">
        <v>37</v>
      </c>
      <c r="G53">
        <v>15</v>
      </c>
      <c r="H53" s="3">
        <v>386.33</v>
      </c>
      <c r="I53" s="3">
        <v>5794.95</v>
      </c>
      <c r="J53" s="3">
        <v>3672.41</v>
      </c>
      <c r="K53" s="3">
        <v>2122.54</v>
      </c>
      <c r="L53" t="s">
        <v>23</v>
      </c>
      <c r="M53" s="7">
        <f t="shared" si="0"/>
        <v>0.36627408346922752</v>
      </c>
    </row>
    <row r="54" spans="1:13" x14ac:dyDescent="0.35">
      <c r="A54" t="s">
        <v>97</v>
      </c>
      <c r="B54" s="2">
        <v>45705</v>
      </c>
      <c r="C54" t="s">
        <v>13</v>
      </c>
      <c r="D54" t="s">
        <v>14</v>
      </c>
      <c r="E54" t="s">
        <v>26</v>
      </c>
      <c r="F54" t="s">
        <v>27</v>
      </c>
      <c r="G54">
        <v>3</v>
      </c>
      <c r="H54" s="3">
        <v>12587.94</v>
      </c>
      <c r="I54" s="3">
        <v>37763.82</v>
      </c>
      <c r="J54" s="3">
        <v>29577.79</v>
      </c>
      <c r="K54" s="3">
        <v>8186.03</v>
      </c>
      <c r="L54" t="s">
        <v>52</v>
      </c>
      <c r="M54" s="7">
        <f t="shared" si="0"/>
        <v>0.21676911922575628</v>
      </c>
    </row>
    <row r="55" spans="1:13" x14ac:dyDescent="0.35">
      <c r="A55" t="s">
        <v>98</v>
      </c>
      <c r="B55" s="2">
        <v>45950</v>
      </c>
      <c r="C55" t="s">
        <v>29</v>
      </c>
      <c r="D55" t="s">
        <v>14</v>
      </c>
      <c r="E55" t="s">
        <v>46</v>
      </c>
      <c r="F55" t="s">
        <v>70</v>
      </c>
      <c r="G55">
        <v>4</v>
      </c>
      <c r="H55" s="3">
        <v>2374.39</v>
      </c>
      <c r="I55" s="3">
        <v>9497.56</v>
      </c>
      <c r="J55" s="3">
        <v>6757.15</v>
      </c>
      <c r="K55" s="3">
        <v>2740.41</v>
      </c>
      <c r="L55" t="s">
        <v>52</v>
      </c>
      <c r="M55" s="7">
        <f t="shared" si="0"/>
        <v>0.2885383193156979</v>
      </c>
    </row>
    <row r="56" spans="1:13" x14ac:dyDescent="0.35">
      <c r="A56" t="s">
        <v>99</v>
      </c>
      <c r="B56" s="2">
        <v>45908</v>
      </c>
      <c r="C56" t="s">
        <v>13</v>
      </c>
      <c r="D56" t="s">
        <v>33</v>
      </c>
      <c r="E56" t="s">
        <v>15</v>
      </c>
      <c r="F56" t="s">
        <v>37</v>
      </c>
      <c r="G56">
        <v>8</v>
      </c>
      <c r="H56" s="3">
        <v>358.33</v>
      </c>
      <c r="I56" s="3">
        <v>2866.64</v>
      </c>
      <c r="J56" s="3">
        <v>2282.67</v>
      </c>
      <c r="K56" s="3">
        <v>583.97</v>
      </c>
      <c r="L56" t="s">
        <v>17</v>
      </c>
      <c r="M56" s="7">
        <f t="shared" si="0"/>
        <v>0.20371236011497784</v>
      </c>
    </row>
    <row r="57" spans="1:13" x14ac:dyDescent="0.35">
      <c r="A57" t="s">
        <v>100</v>
      </c>
      <c r="B57" s="2">
        <v>45724</v>
      </c>
      <c r="C57" t="s">
        <v>29</v>
      </c>
      <c r="D57" t="s">
        <v>30</v>
      </c>
      <c r="E57" t="s">
        <v>21</v>
      </c>
      <c r="F57" t="s">
        <v>101</v>
      </c>
      <c r="G57">
        <v>11</v>
      </c>
      <c r="H57" s="3">
        <v>8028.77</v>
      </c>
      <c r="I57" s="3">
        <v>88316.47</v>
      </c>
      <c r="J57" s="3">
        <v>71509.7</v>
      </c>
      <c r="K57" s="3">
        <v>16806.77</v>
      </c>
      <c r="L57" t="s">
        <v>52</v>
      </c>
      <c r="M57" s="7">
        <f t="shared" si="0"/>
        <v>0.19030165041696073</v>
      </c>
    </row>
    <row r="58" spans="1:13" x14ac:dyDescent="0.35">
      <c r="A58" t="s">
        <v>102</v>
      </c>
      <c r="B58" s="2">
        <v>45975</v>
      </c>
      <c r="C58" t="s">
        <v>19</v>
      </c>
      <c r="D58" t="s">
        <v>44</v>
      </c>
      <c r="E58" t="s">
        <v>46</v>
      </c>
      <c r="F58" t="s">
        <v>70</v>
      </c>
      <c r="G58">
        <v>15</v>
      </c>
      <c r="H58" s="3">
        <v>2190.9</v>
      </c>
      <c r="I58" s="3">
        <v>32863.5</v>
      </c>
      <c r="J58" s="3">
        <v>26784.11</v>
      </c>
      <c r="K58" s="3">
        <v>6079.39</v>
      </c>
      <c r="L58" t="s">
        <v>17</v>
      </c>
      <c r="M58" s="7">
        <f t="shared" si="0"/>
        <v>0.18498912166993778</v>
      </c>
    </row>
    <row r="59" spans="1:13" x14ac:dyDescent="0.35">
      <c r="A59" t="s">
        <v>103</v>
      </c>
      <c r="B59" s="2">
        <v>45684</v>
      </c>
      <c r="C59" t="s">
        <v>29</v>
      </c>
      <c r="D59" t="s">
        <v>68</v>
      </c>
      <c r="E59" t="s">
        <v>21</v>
      </c>
      <c r="F59" t="s">
        <v>63</v>
      </c>
      <c r="G59">
        <v>9</v>
      </c>
      <c r="H59" s="3">
        <v>5923.12</v>
      </c>
      <c r="I59" s="3">
        <v>53308.08</v>
      </c>
      <c r="J59" s="3">
        <v>36397.279999999999</v>
      </c>
      <c r="K59" s="3">
        <v>16910.8</v>
      </c>
      <c r="L59" t="s">
        <v>17</v>
      </c>
      <c r="M59" s="7">
        <f t="shared" si="0"/>
        <v>0.31722770731941574</v>
      </c>
    </row>
    <row r="60" spans="1:13" x14ac:dyDescent="0.35">
      <c r="A60" t="s">
        <v>104</v>
      </c>
      <c r="B60" s="2">
        <v>45843</v>
      </c>
      <c r="C60" t="s">
        <v>13</v>
      </c>
      <c r="D60" t="s">
        <v>33</v>
      </c>
      <c r="E60" t="s">
        <v>26</v>
      </c>
      <c r="F60" t="s">
        <v>31</v>
      </c>
      <c r="G60">
        <v>1</v>
      </c>
      <c r="H60" s="3">
        <v>46725.97</v>
      </c>
      <c r="I60" s="3">
        <v>46725.97</v>
      </c>
      <c r="J60" s="3">
        <v>40163.25</v>
      </c>
      <c r="K60" s="3">
        <v>6562.72</v>
      </c>
      <c r="L60" t="s">
        <v>23</v>
      </c>
      <c r="M60" s="7">
        <f t="shared" si="0"/>
        <v>0.14045123086797343</v>
      </c>
    </row>
    <row r="61" spans="1:13" x14ac:dyDescent="0.35">
      <c r="A61" t="s">
        <v>105</v>
      </c>
      <c r="B61" s="2">
        <v>46016</v>
      </c>
      <c r="C61" t="s">
        <v>42</v>
      </c>
      <c r="D61" t="s">
        <v>25</v>
      </c>
      <c r="E61" t="s">
        <v>15</v>
      </c>
      <c r="F61" t="s">
        <v>37</v>
      </c>
      <c r="G61">
        <v>20</v>
      </c>
      <c r="H61" s="3">
        <v>365.83</v>
      </c>
      <c r="I61" s="3">
        <v>7316.6</v>
      </c>
      <c r="J61" s="3">
        <v>5587.97</v>
      </c>
      <c r="K61" s="3">
        <v>1728.63</v>
      </c>
      <c r="L61" t="s">
        <v>23</v>
      </c>
      <c r="M61" s="7">
        <f t="shared" si="0"/>
        <v>0.23626137823579257</v>
      </c>
    </row>
    <row r="62" spans="1:13" x14ac:dyDescent="0.35">
      <c r="A62" t="s">
        <v>106</v>
      </c>
      <c r="B62" s="2">
        <v>45950</v>
      </c>
      <c r="C62" t="s">
        <v>13</v>
      </c>
      <c r="D62" t="s">
        <v>36</v>
      </c>
      <c r="E62" t="s">
        <v>26</v>
      </c>
      <c r="F62" t="s">
        <v>27</v>
      </c>
      <c r="G62">
        <v>1</v>
      </c>
      <c r="H62" s="3">
        <v>13171.14</v>
      </c>
      <c r="I62" s="3">
        <v>13171.14</v>
      </c>
      <c r="J62" s="3">
        <v>9601.3700000000008</v>
      </c>
      <c r="K62" s="3">
        <v>3569.77</v>
      </c>
      <c r="L62" t="s">
        <v>52</v>
      </c>
      <c r="M62" s="7">
        <f t="shared" si="0"/>
        <v>0.27102969067218174</v>
      </c>
    </row>
    <row r="63" spans="1:13" x14ac:dyDescent="0.35">
      <c r="A63" t="s">
        <v>107</v>
      </c>
      <c r="B63" s="2">
        <v>45885</v>
      </c>
      <c r="C63" t="s">
        <v>19</v>
      </c>
      <c r="D63" t="s">
        <v>20</v>
      </c>
      <c r="E63" t="s">
        <v>21</v>
      </c>
      <c r="F63" t="s">
        <v>22</v>
      </c>
      <c r="G63">
        <v>13</v>
      </c>
      <c r="H63" s="3">
        <v>11490.68</v>
      </c>
      <c r="I63" s="3">
        <v>149378.84</v>
      </c>
      <c r="J63" s="3">
        <v>106916.21</v>
      </c>
      <c r="K63" s="3">
        <v>42462.63</v>
      </c>
      <c r="L63" t="s">
        <v>23</v>
      </c>
      <c r="M63" s="7">
        <f t="shared" si="0"/>
        <v>0.28426134518115148</v>
      </c>
    </row>
    <row r="64" spans="1:13" x14ac:dyDescent="0.35">
      <c r="A64" t="s">
        <v>108</v>
      </c>
      <c r="B64" s="2">
        <v>45756</v>
      </c>
      <c r="C64" t="s">
        <v>29</v>
      </c>
      <c r="D64" t="s">
        <v>25</v>
      </c>
      <c r="E64" t="s">
        <v>26</v>
      </c>
      <c r="F64" t="s">
        <v>65</v>
      </c>
      <c r="G64">
        <v>11</v>
      </c>
      <c r="H64" s="3">
        <v>653.1</v>
      </c>
      <c r="I64" s="3">
        <v>7184.1</v>
      </c>
      <c r="J64" s="3">
        <v>4835.22</v>
      </c>
      <c r="K64" s="3">
        <v>2348.88</v>
      </c>
      <c r="L64" t="s">
        <v>23</v>
      </c>
      <c r="M64" s="7">
        <f t="shared" si="0"/>
        <v>0.32695535975278739</v>
      </c>
    </row>
    <row r="65" spans="1:13" x14ac:dyDescent="0.35">
      <c r="A65" t="s">
        <v>109</v>
      </c>
      <c r="B65" s="2">
        <v>46016</v>
      </c>
      <c r="C65" t="s">
        <v>42</v>
      </c>
      <c r="D65" t="s">
        <v>14</v>
      </c>
      <c r="E65" t="s">
        <v>46</v>
      </c>
      <c r="F65" t="s">
        <v>51</v>
      </c>
      <c r="G65">
        <v>3</v>
      </c>
      <c r="H65" s="3">
        <v>3001.1</v>
      </c>
      <c r="I65" s="3">
        <v>9003.2999999999993</v>
      </c>
      <c r="J65" s="3">
        <v>6117.61</v>
      </c>
      <c r="K65" s="3">
        <v>2885.69</v>
      </c>
      <c r="L65" t="s">
        <v>52</v>
      </c>
      <c r="M65" s="7">
        <f t="shared" si="0"/>
        <v>0.32051470016549488</v>
      </c>
    </row>
    <row r="66" spans="1:13" x14ac:dyDescent="0.35">
      <c r="A66" t="s">
        <v>110</v>
      </c>
      <c r="B66" s="2">
        <v>45817</v>
      </c>
      <c r="C66" t="s">
        <v>19</v>
      </c>
      <c r="D66" t="s">
        <v>14</v>
      </c>
      <c r="E66" t="s">
        <v>15</v>
      </c>
      <c r="F66" t="s">
        <v>16</v>
      </c>
      <c r="G66">
        <v>15</v>
      </c>
      <c r="H66" s="3">
        <v>239.35</v>
      </c>
      <c r="I66" s="3">
        <v>3590.25</v>
      </c>
      <c r="J66" s="3">
        <v>2562.73</v>
      </c>
      <c r="K66" s="3">
        <v>1027.52</v>
      </c>
      <c r="L66" t="s">
        <v>23</v>
      </c>
      <c r="M66" s="7">
        <f t="shared" ref="M66:M129" si="1">K66/I66</f>
        <v>0.2861973400181046</v>
      </c>
    </row>
    <row r="67" spans="1:13" x14ac:dyDescent="0.35">
      <c r="A67" t="s">
        <v>111</v>
      </c>
      <c r="B67" s="2">
        <v>45795</v>
      </c>
      <c r="C67" t="s">
        <v>29</v>
      </c>
      <c r="D67" t="s">
        <v>39</v>
      </c>
      <c r="E67" t="s">
        <v>21</v>
      </c>
      <c r="F67" t="s">
        <v>63</v>
      </c>
      <c r="G67">
        <v>4</v>
      </c>
      <c r="H67" s="3">
        <v>5896.19</v>
      </c>
      <c r="I67" s="3">
        <v>23584.76</v>
      </c>
      <c r="J67" s="3">
        <v>15266.24</v>
      </c>
      <c r="K67" s="3">
        <v>8318.52</v>
      </c>
      <c r="L67" t="s">
        <v>52</v>
      </c>
      <c r="M67" s="7">
        <f t="shared" si="1"/>
        <v>0.352707426321065</v>
      </c>
    </row>
    <row r="68" spans="1:13" x14ac:dyDescent="0.35">
      <c r="A68" t="s">
        <v>112</v>
      </c>
      <c r="B68" s="2">
        <v>45754</v>
      </c>
      <c r="C68" t="s">
        <v>42</v>
      </c>
      <c r="D68" t="s">
        <v>30</v>
      </c>
      <c r="E68" t="s">
        <v>21</v>
      </c>
      <c r="F68" t="s">
        <v>63</v>
      </c>
      <c r="G68">
        <v>17</v>
      </c>
      <c r="H68" s="3">
        <v>6100.21</v>
      </c>
      <c r="I68" s="3">
        <v>103703.57</v>
      </c>
      <c r="J68" s="3">
        <v>85329.07</v>
      </c>
      <c r="K68" s="3">
        <v>18374.5</v>
      </c>
      <c r="L68" t="s">
        <v>17</v>
      </c>
      <c r="M68" s="7">
        <f t="shared" si="1"/>
        <v>0.17718290701081937</v>
      </c>
    </row>
    <row r="69" spans="1:13" x14ac:dyDescent="0.35">
      <c r="A69" t="s">
        <v>113</v>
      </c>
      <c r="B69" s="2">
        <v>45968</v>
      </c>
      <c r="C69" t="s">
        <v>19</v>
      </c>
      <c r="D69" t="s">
        <v>36</v>
      </c>
      <c r="E69" t="s">
        <v>26</v>
      </c>
      <c r="F69" t="s">
        <v>65</v>
      </c>
      <c r="G69">
        <v>14</v>
      </c>
      <c r="H69" s="3">
        <v>693.9</v>
      </c>
      <c r="I69" s="3">
        <v>9714.6</v>
      </c>
      <c r="J69" s="3">
        <v>7234.67</v>
      </c>
      <c r="K69" s="3">
        <v>2479.9299999999998</v>
      </c>
      <c r="L69" t="s">
        <v>23</v>
      </c>
      <c r="M69" s="7">
        <f t="shared" si="1"/>
        <v>0.25527865274946987</v>
      </c>
    </row>
    <row r="70" spans="1:13" x14ac:dyDescent="0.35">
      <c r="A70" t="s">
        <v>114</v>
      </c>
      <c r="B70" s="2">
        <v>45955</v>
      </c>
      <c r="C70" t="s">
        <v>19</v>
      </c>
      <c r="D70" t="s">
        <v>20</v>
      </c>
      <c r="E70" t="s">
        <v>26</v>
      </c>
      <c r="F70" t="s">
        <v>31</v>
      </c>
      <c r="G70">
        <v>20</v>
      </c>
      <c r="H70" s="3">
        <v>42161.89</v>
      </c>
      <c r="I70" s="3">
        <v>843237.8</v>
      </c>
      <c r="J70" s="3">
        <v>677721.18</v>
      </c>
      <c r="K70" s="3">
        <v>165516.62</v>
      </c>
      <c r="L70" t="s">
        <v>23</v>
      </c>
      <c r="M70" s="7">
        <f t="shared" si="1"/>
        <v>0.19628700231417517</v>
      </c>
    </row>
    <row r="71" spans="1:13" x14ac:dyDescent="0.35">
      <c r="A71" t="s">
        <v>115</v>
      </c>
      <c r="B71" s="2">
        <v>45992</v>
      </c>
      <c r="C71" t="s">
        <v>19</v>
      </c>
      <c r="D71" t="s">
        <v>25</v>
      </c>
      <c r="E71" t="s">
        <v>15</v>
      </c>
      <c r="F71" t="s">
        <v>34</v>
      </c>
      <c r="G71">
        <v>11</v>
      </c>
      <c r="H71" s="3">
        <v>130.05000000000001</v>
      </c>
      <c r="I71" s="3">
        <v>1430.55</v>
      </c>
      <c r="J71" s="3">
        <v>943.11</v>
      </c>
      <c r="K71" s="3">
        <v>487.44</v>
      </c>
      <c r="L71" t="s">
        <v>17</v>
      </c>
      <c r="M71" s="7">
        <f t="shared" si="1"/>
        <v>0.3407360805284681</v>
      </c>
    </row>
    <row r="72" spans="1:13" x14ac:dyDescent="0.35">
      <c r="A72" t="s">
        <v>116</v>
      </c>
      <c r="B72" s="2">
        <v>45832</v>
      </c>
      <c r="C72" t="s">
        <v>42</v>
      </c>
      <c r="D72" t="s">
        <v>36</v>
      </c>
      <c r="E72" t="s">
        <v>21</v>
      </c>
      <c r="F72" t="s">
        <v>101</v>
      </c>
      <c r="G72">
        <v>15</v>
      </c>
      <c r="H72" s="3">
        <v>8893.06</v>
      </c>
      <c r="I72" s="3">
        <v>133395.9</v>
      </c>
      <c r="J72" s="3">
        <v>92089.54</v>
      </c>
      <c r="K72" s="3">
        <v>41306.36</v>
      </c>
      <c r="L72" t="s">
        <v>17</v>
      </c>
      <c r="M72" s="7">
        <f t="shared" si="1"/>
        <v>0.30965239561335844</v>
      </c>
    </row>
    <row r="73" spans="1:13" x14ac:dyDescent="0.35">
      <c r="A73" t="s">
        <v>117</v>
      </c>
      <c r="B73" s="2">
        <v>45978</v>
      </c>
      <c r="C73" t="s">
        <v>13</v>
      </c>
      <c r="D73" t="s">
        <v>44</v>
      </c>
      <c r="E73" t="s">
        <v>21</v>
      </c>
      <c r="F73" t="s">
        <v>101</v>
      </c>
      <c r="G73">
        <v>20</v>
      </c>
      <c r="H73" s="3">
        <v>7952.26</v>
      </c>
      <c r="I73" s="3">
        <v>159045.20000000001</v>
      </c>
      <c r="J73" s="3">
        <v>132219.79</v>
      </c>
      <c r="K73" s="3">
        <v>26825.41</v>
      </c>
      <c r="L73" t="s">
        <v>23</v>
      </c>
      <c r="M73" s="7">
        <f t="shared" si="1"/>
        <v>0.16866532281389188</v>
      </c>
    </row>
    <row r="74" spans="1:13" x14ac:dyDescent="0.35">
      <c r="A74" t="s">
        <v>118</v>
      </c>
      <c r="B74" s="2">
        <v>45895</v>
      </c>
      <c r="C74" t="s">
        <v>42</v>
      </c>
      <c r="D74" t="s">
        <v>20</v>
      </c>
      <c r="E74" t="s">
        <v>15</v>
      </c>
      <c r="F74" t="s">
        <v>34</v>
      </c>
      <c r="G74">
        <v>11</v>
      </c>
      <c r="H74" s="3">
        <v>108.99</v>
      </c>
      <c r="I74" s="3">
        <v>1198.8900000000001</v>
      </c>
      <c r="J74" s="3">
        <v>953.8</v>
      </c>
      <c r="K74" s="3">
        <v>245.09</v>
      </c>
      <c r="L74" t="s">
        <v>23</v>
      </c>
      <c r="M74" s="7">
        <f t="shared" si="1"/>
        <v>0.20443076512440672</v>
      </c>
    </row>
    <row r="75" spans="1:13" x14ac:dyDescent="0.35">
      <c r="A75" t="s">
        <v>119</v>
      </c>
      <c r="B75" s="2">
        <v>45709</v>
      </c>
      <c r="C75" t="s">
        <v>19</v>
      </c>
      <c r="D75" t="s">
        <v>30</v>
      </c>
      <c r="E75" t="s">
        <v>26</v>
      </c>
      <c r="F75" t="s">
        <v>27</v>
      </c>
      <c r="G75">
        <v>3</v>
      </c>
      <c r="H75" s="3">
        <v>12943.9</v>
      </c>
      <c r="I75" s="3">
        <v>38831.699999999997</v>
      </c>
      <c r="J75" s="3">
        <v>27524.7</v>
      </c>
      <c r="K75" s="3">
        <v>11307</v>
      </c>
      <c r="L75" t="s">
        <v>23</v>
      </c>
      <c r="M75" s="7">
        <f t="shared" si="1"/>
        <v>0.29117962901443928</v>
      </c>
    </row>
    <row r="76" spans="1:13" x14ac:dyDescent="0.35">
      <c r="A76" t="s">
        <v>120</v>
      </c>
      <c r="B76" s="2">
        <v>45964</v>
      </c>
      <c r="C76" t="s">
        <v>13</v>
      </c>
      <c r="D76" t="s">
        <v>30</v>
      </c>
      <c r="E76" t="s">
        <v>21</v>
      </c>
      <c r="F76" t="s">
        <v>22</v>
      </c>
      <c r="G76">
        <v>16</v>
      </c>
      <c r="H76" s="3">
        <v>12224.3</v>
      </c>
      <c r="I76" s="3">
        <v>195588.8</v>
      </c>
      <c r="J76" s="3">
        <v>149800.82999999999</v>
      </c>
      <c r="K76" s="3">
        <v>45787.97</v>
      </c>
      <c r="L76" t="s">
        <v>23</v>
      </c>
      <c r="M76" s="7">
        <f t="shared" si="1"/>
        <v>0.23410323085984475</v>
      </c>
    </row>
    <row r="77" spans="1:13" x14ac:dyDescent="0.35">
      <c r="A77" t="s">
        <v>121</v>
      </c>
      <c r="B77" s="2">
        <v>45673</v>
      </c>
      <c r="C77" t="s">
        <v>29</v>
      </c>
      <c r="D77" t="s">
        <v>39</v>
      </c>
      <c r="E77" t="s">
        <v>21</v>
      </c>
      <c r="F77" t="s">
        <v>101</v>
      </c>
      <c r="G77">
        <v>3</v>
      </c>
      <c r="H77" s="3">
        <v>7926.71</v>
      </c>
      <c r="I77" s="3">
        <v>23780.13</v>
      </c>
      <c r="J77" s="3">
        <v>16160.48</v>
      </c>
      <c r="K77" s="3">
        <v>7619.65</v>
      </c>
      <c r="L77" t="s">
        <v>23</v>
      </c>
      <c r="M77" s="7">
        <f t="shared" si="1"/>
        <v>0.32042087238379263</v>
      </c>
    </row>
    <row r="78" spans="1:13" x14ac:dyDescent="0.35">
      <c r="A78" t="s">
        <v>122</v>
      </c>
      <c r="B78" s="2">
        <v>45960</v>
      </c>
      <c r="C78" t="s">
        <v>42</v>
      </c>
      <c r="D78" t="s">
        <v>39</v>
      </c>
      <c r="E78" t="s">
        <v>21</v>
      </c>
      <c r="F78" t="s">
        <v>22</v>
      </c>
      <c r="G78">
        <v>15</v>
      </c>
      <c r="H78" s="3">
        <v>10240.52</v>
      </c>
      <c r="I78" s="3">
        <v>153607.79999999999</v>
      </c>
      <c r="J78" s="3">
        <v>107079.03</v>
      </c>
      <c r="K78" s="3">
        <v>46528.77</v>
      </c>
      <c r="L78" t="s">
        <v>23</v>
      </c>
      <c r="M78" s="7">
        <f t="shared" si="1"/>
        <v>0.30290629772706856</v>
      </c>
    </row>
    <row r="79" spans="1:13" x14ac:dyDescent="0.35">
      <c r="A79" t="s">
        <v>123</v>
      </c>
      <c r="B79" s="2">
        <v>45799</v>
      </c>
      <c r="C79" t="s">
        <v>19</v>
      </c>
      <c r="D79" t="s">
        <v>36</v>
      </c>
      <c r="E79" t="s">
        <v>15</v>
      </c>
      <c r="F79" t="s">
        <v>16</v>
      </c>
      <c r="G79">
        <v>13</v>
      </c>
      <c r="H79" s="3">
        <v>268.91000000000003</v>
      </c>
      <c r="I79" s="3">
        <v>3495.83</v>
      </c>
      <c r="J79" s="3">
        <v>2175.04</v>
      </c>
      <c r="K79" s="3">
        <v>1320.79</v>
      </c>
      <c r="L79" t="s">
        <v>52</v>
      </c>
      <c r="M79" s="7">
        <f t="shared" si="1"/>
        <v>0.37781871544096823</v>
      </c>
    </row>
    <row r="80" spans="1:13" x14ac:dyDescent="0.35">
      <c r="A80" t="s">
        <v>124</v>
      </c>
      <c r="B80" s="2">
        <v>45866</v>
      </c>
      <c r="C80" t="s">
        <v>42</v>
      </c>
      <c r="D80" t="s">
        <v>20</v>
      </c>
      <c r="E80" t="s">
        <v>21</v>
      </c>
      <c r="F80" t="s">
        <v>101</v>
      </c>
      <c r="G80">
        <v>2</v>
      </c>
      <c r="H80" s="3">
        <v>8051.57</v>
      </c>
      <c r="I80" s="3">
        <v>16103.14</v>
      </c>
      <c r="J80" s="3">
        <v>10455.33</v>
      </c>
      <c r="K80" s="3">
        <v>5647.81</v>
      </c>
      <c r="L80" t="s">
        <v>17</v>
      </c>
      <c r="M80" s="7">
        <f t="shared" si="1"/>
        <v>0.35072724946811618</v>
      </c>
    </row>
    <row r="81" spans="1:13" x14ac:dyDescent="0.35">
      <c r="A81" t="s">
        <v>125</v>
      </c>
      <c r="B81" s="2">
        <v>45984</v>
      </c>
      <c r="C81" t="s">
        <v>42</v>
      </c>
      <c r="D81" t="s">
        <v>14</v>
      </c>
      <c r="E81" t="s">
        <v>15</v>
      </c>
      <c r="F81" t="s">
        <v>37</v>
      </c>
      <c r="G81">
        <v>10</v>
      </c>
      <c r="H81" s="3">
        <v>368.48</v>
      </c>
      <c r="I81" s="3">
        <v>3684.8</v>
      </c>
      <c r="J81" s="3">
        <v>2313.23</v>
      </c>
      <c r="K81" s="3">
        <v>1371.57</v>
      </c>
      <c r="L81" t="s">
        <v>52</v>
      </c>
      <c r="M81" s="7">
        <f t="shared" si="1"/>
        <v>0.37222372991749886</v>
      </c>
    </row>
    <row r="82" spans="1:13" x14ac:dyDescent="0.35">
      <c r="A82" t="s">
        <v>126</v>
      </c>
      <c r="B82" s="2">
        <v>45912</v>
      </c>
      <c r="C82" t="s">
        <v>19</v>
      </c>
      <c r="D82" t="s">
        <v>33</v>
      </c>
      <c r="E82" t="s">
        <v>26</v>
      </c>
      <c r="F82" t="s">
        <v>65</v>
      </c>
      <c r="G82">
        <v>12</v>
      </c>
      <c r="H82" s="3">
        <v>762.78</v>
      </c>
      <c r="I82" s="3">
        <v>9153.36</v>
      </c>
      <c r="J82" s="3">
        <v>7023.69</v>
      </c>
      <c r="K82" s="3">
        <v>2129.67</v>
      </c>
      <c r="L82" t="s">
        <v>52</v>
      </c>
      <c r="M82" s="7">
        <f t="shared" si="1"/>
        <v>0.23266538189255093</v>
      </c>
    </row>
    <row r="83" spans="1:13" x14ac:dyDescent="0.35">
      <c r="A83" t="s">
        <v>127</v>
      </c>
      <c r="B83" s="2">
        <v>45967</v>
      </c>
      <c r="C83" t="s">
        <v>42</v>
      </c>
      <c r="D83" t="s">
        <v>14</v>
      </c>
      <c r="E83" t="s">
        <v>15</v>
      </c>
      <c r="F83" t="s">
        <v>37</v>
      </c>
      <c r="G83">
        <v>18</v>
      </c>
      <c r="H83" s="3">
        <v>377.69</v>
      </c>
      <c r="I83" s="3">
        <v>6798.42</v>
      </c>
      <c r="J83" s="3">
        <v>4223.26</v>
      </c>
      <c r="K83" s="3">
        <v>2575.16</v>
      </c>
      <c r="L83" t="s">
        <v>17</v>
      </c>
      <c r="M83" s="7">
        <f t="shared" si="1"/>
        <v>0.3787880125087888</v>
      </c>
    </row>
    <row r="84" spans="1:13" x14ac:dyDescent="0.35">
      <c r="A84" t="s">
        <v>128</v>
      </c>
      <c r="B84" s="2">
        <v>45845</v>
      </c>
      <c r="C84" t="s">
        <v>19</v>
      </c>
      <c r="D84" t="s">
        <v>54</v>
      </c>
      <c r="E84" t="s">
        <v>21</v>
      </c>
      <c r="F84" t="s">
        <v>101</v>
      </c>
      <c r="G84">
        <v>5</v>
      </c>
      <c r="H84" s="3">
        <v>8386.4500000000007</v>
      </c>
      <c r="I84" s="3">
        <v>41932.25</v>
      </c>
      <c r="J84" s="3">
        <v>26368.07</v>
      </c>
      <c r="K84" s="3">
        <v>15564.18</v>
      </c>
      <c r="L84" t="s">
        <v>23</v>
      </c>
      <c r="M84" s="7">
        <f t="shared" si="1"/>
        <v>0.3711744540300127</v>
      </c>
    </row>
    <row r="85" spans="1:13" x14ac:dyDescent="0.35">
      <c r="A85" t="s">
        <v>129</v>
      </c>
      <c r="B85" s="2">
        <v>45703</v>
      </c>
      <c r="C85" t="s">
        <v>42</v>
      </c>
      <c r="D85" t="s">
        <v>20</v>
      </c>
      <c r="E85" t="s">
        <v>21</v>
      </c>
      <c r="F85" t="s">
        <v>22</v>
      </c>
      <c r="G85">
        <v>17</v>
      </c>
      <c r="H85" s="3">
        <v>11830.5</v>
      </c>
      <c r="I85" s="3">
        <v>201118.5</v>
      </c>
      <c r="J85" s="3">
        <v>137109.65</v>
      </c>
      <c r="K85" s="3">
        <v>64008.85</v>
      </c>
      <c r="L85" t="s">
        <v>17</v>
      </c>
      <c r="M85" s="7">
        <f t="shared" si="1"/>
        <v>0.31826435658579394</v>
      </c>
    </row>
    <row r="86" spans="1:13" x14ac:dyDescent="0.35">
      <c r="A86" t="s">
        <v>130</v>
      </c>
      <c r="B86" s="2">
        <v>45766</v>
      </c>
      <c r="C86" t="s">
        <v>19</v>
      </c>
      <c r="D86" t="s">
        <v>30</v>
      </c>
      <c r="E86" t="s">
        <v>46</v>
      </c>
      <c r="F86" t="s">
        <v>70</v>
      </c>
      <c r="G86">
        <v>9</v>
      </c>
      <c r="H86" s="3">
        <v>2352.21</v>
      </c>
      <c r="I86" s="3">
        <v>21169.89</v>
      </c>
      <c r="J86" s="3">
        <v>16897.16</v>
      </c>
      <c r="K86" s="3">
        <v>4272.7299999999996</v>
      </c>
      <c r="L86" t="s">
        <v>17</v>
      </c>
      <c r="M86" s="7">
        <f t="shared" si="1"/>
        <v>0.20183052439101004</v>
      </c>
    </row>
    <row r="87" spans="1:13" x14ac:dyDescent="0.35">
      <c r="A87" t="s">
        <v>131</v>
      </c>
      <c r="B87" s="2">
        <v>45951</v>
      </c>
      <c r="C87" t="s">
        <v>42</v>
      </c>
      <c r="D87" t="s">
        <v>39</v>
      </c>
      <c r="E87" t="s">
        <v>46</v>
      </c>
      <c r="F87" t="s">
        <v>47</v>
      </c>
      <c r="G87">
        <v>19</v>
      </c>
      <c r="H87" s="3">
        <v>568.71</v>
      </c>
      <c r="I87" s="3">
        <v>10805.49</v>
      </c>
      <c r="J87" s="3">
        <v>7101.79</v>
      </c>
      <c r="K87" s="3">
        <v>3703.7</v>
      </c>
      <c r="L87" t="s">
        <v>52</v>
      </c>
      <c r="M87" s="7">
        <f t="shared" si="1"/>
        <v>0.3427609483697639</v>
      </c>
    </row>
    <row r="88" spans="1:13" x14ac:dyDescent="0.35">
      <c r="A88" t="s">
        <v>132</v>
      </c>
      <c r="B88" s="2">
        <v>45949</v>
      </c>
      <c r="C88" t="s">
        <v>29</v>
      </c>
      <c r="D88" t="s">
        <v>36</v>
      </c>
      <c r="E88" t="s">
        <v>15</v>
      </c>
      <c r="F88" t="s">
        <v>34</v>
      </c>
      <c r="G88">
        <v>6</v>
      </c>
      <c r="H88" s="3">
        <v>110.43</v>
      </c>
      <c r="I88" s="3">
        <v>662.58</v>
      </c>
      <c r="J88" s="3">
        <v>443.03</v>
      </c>
      <c r="K88" s="3">
        <v>219.55</v>
      </c>
      <c r="L88" t="s">
        <v>52</v>
      </c>
      <c r="M88" s="7">
        <f t="shared" si="1"/>
        <v>0.3313562135893024</v>
      </c>
    </row>
    <row r="89" spans="1:13" x14ac:dyDescent="0.35">
      <c r="A89" t="s">
        <v>133</v>
      </c>
      <c r="B89" s="2">
        <v>45847</v>
      </c>
      <c r="C89" t="s">
        <v>42</v>
      </c>
      <c r="D89" t="s">
        <v>36</v>
      </c>
      <c r="E89" t="s">
        <v>26</v>
      </c>
      <c r="F89" t="s">
        <v>31</v>
      </c>
      <c r="G89">
        <v>14</v>
      </c>
      <c r="H89" s="3">
        <v>50281.85</v>
      </c>
      <c r="I89" s="3">
        <v>703945.9</v>
      </c>
      <c r="J89" s="3">
        <v>512826.71</v>
      </c>
      <c r="K89" s="3">
        <v>191119.19</v>
      </c>
      <c r="L89" t="s">
        <v>17</v>
      </c>
      <c r="M89" s="7">
        <f t="shared" si="1"/>
        <v>0.27149698577688997</v>
      </c>
    </row>
    <row r="90" spans="1:13" x14ac:dyDescent="0.35">
      <c r="A90" t="s">
        <v>134</v>
      </c>
      <c r="B90" s="2">
        <v>46017</v>
      </c>
      <c r="C90" t="s">
        <v>29</v>
      </c>
      <c r="D90" t="s">
        <v>68</v>
      </c>
      <c r="E90" t="s">
        <v>15</v>
      </c>
      <c r="F90" t="s">
        <v>16</v>
      </c>
      <c r="G90">
        <v>13</v>
      </c>
      <c r="H90" s="3">
        <v>263.18</v>
      </c>
      <c r="I90" s="3">
        <v>3421.34</v>
      </c>
      <c r="J90" s="3">
        <v>2125.1</v>
      </c>
      <c r="K90" s="3">
        <v>1296.24</v>
      </c>
      <c r="L90" t="s">
        <v>23</v>
      </c>
      <c r="M90" s="7">
        <f t="shared" si="1"/>
        <v>0.37886909807268498</v>
      </c>
    </row>
    <row r="91" spans="1:13" x14ac:dyDescent="0.35">
      <c r="A91" t="s">
        <v>135</v>
      </c>
      <c r="B91" s="2">
        <v>45891</v>
      </c>
      <c r="C91" t="s">
        <v>29</v>
      </c>
      <c r="D91" t="s">
        <v>54</v>
      </c>
      <c r="E91" t="s">
        <v>26</v>
      </c>
      <c r="F91" t="s">
        <v>31</v>
      </c>
      <c r="G91">
        <v>1</v>
      </c>
      <c r="H91" s="3">
        <v>43165.93</v>
      </c>
      <c r="I91" s="3">
        <v>43165.93</v>
      </c>
      <c r="J91" s="3">
        <v>33114.42</v>
      </c>
      <c r="K91" s="3">
        <v>10051.51</v>
      </c>
      <c r="L91" t="s">
        <v>52</v>
      </c>
      <c r="M91" s="7">
        <f t="shared" si="1"/>
        <v>0.23285748737488107</v>
      </c>
    </row>
    <row r="92" spans="1:13" x14ac:dyDescent="0.35">
      <c r="A92" t="s">
        <v>136</v>
      </c>
      <c r="B92" s="2">
        <v>45750</v>
      </c>
      <c r="C92" t="s">
        <v>29</v>
      </c>
      <c r="D92" t="s">
        <v>33</v>
      </c>
      <c r="E92" t="s">
        <v>26</v>
      </c>
      <c r="F92" t="s">
        <v>49</v>
      </c>
      <c r="G92">
        <v>7</v>
      </c>
      <c r="H92" s="3">
        <v>1416.78</v>
      </c>
      <c r="I92" s="3">
        <v>9917.4599999999991</v>
      </c>
      <c r="J92" s="3">
        <v>8430.2000000000007</v>
      </c>
      <c r="K92" s="3">
        <v>1487.26</v>
      </c>
      <c r="L92" t="s">
        <v>23</v>
      </c>
      <c r="M92" s="7">
        <f t="shared" si="1"/>
        <v>0.14996380121523054</v>
      </c>
    </row>
    <row r="93" spans="1:13" x14ac:dyDescent="0.35">
      <c r="A93" t="s">
        <v>137</v>
      </c>
      <c r="B93" s="2">
        <v>45931</v>
      </c>
      <c r="C93" t="s">
        <v>29</v>
      </c>
      <c r="D93" t="s">
        <v>39</v>
      </c>
      <c r="E93" t="s">
        <v>15</v>
      </c>
      <c r="F93" t="s">
        <v>34</v>
      </c>
      <c r="G93">
        <v>3</v>
      </c>
      <c r="H93" s="3">
        <v>124.56</v>
      </c>
      <c r="I93" s="3">
        <v>373.68</v>
      </c>
      <c r="J93" s="3">
        <v>312.45999999999998</v>
      </c>
      <c r="K93" s="3">
        <v>61.22</v>
      </c>
      <c r="L93" t="s">
        <v>17</v>
      </c>
      <c r="M93" s="7">
        <f t="shared" si="1"/>
        <v>0.16383001498608435</v>
      </c>
    </row>
    <row r="94" spans="1:13" x14ac:dyDescent="0.35">
      <c r="A94" t="s">
        <v>138</v>
      </c>
      <c r="B94" s="2">
        <v>45939</v>
      </c>
      <c r="C94" t="s">
        <v>13</v>
      </c>
      <c r="D94" t="s">
        <v>33</v>
      </c>
      <c r="E94" t="s">
        <v>15</v>
      </c>
      <c r="F94" t="s">
        <v>37</v>
      </c>
      <c r="G94">
        <v>7</v>
      </c>
      <c r="H94" s="3">
        <v>384.09</v>
      </c>
      <c r="I94" s="3">
        <v>2688.63</v>
      </c>
      <c r="J94" s="3">
        <v>2120.63</v>
      </c>
      <c r="K94" s="3">
        <v>568</v>
      </c>
      <c r="L94" t="s">
        <v>52</v>
      </c>
      <c r="M94" s="7">
        <f t="shared" si="1"/>
        <v>0.21126000974473988</v>
      </c>
    </row>
    <row r="95" spans="1:13" x14ac:dyDescent="0.35">
      <c r="A95" t="s">
        <v>139</v>
      </c>
      <c r="B95" s="2">
        <v>45781</v>
      </c>
      <c r="C95" t="s">
        <v>42</v>
      </c>
      <c r="D95" t="s">
        <v>14</v>
      </c>
      <c r="E95" t="s">
        <v>46</v>
      </c>
      <c r="F95" t="s">
        <v>51</v>
      </c>
      <c r="G95">
        <v>6</v>
      </c>
      <c r="H95" s="3">
        <v>3016.13</v>
      </c>
      <c r="I95" s="3">
        <v>18096.78</v>
      </c>
      <c r="J95" s="3">
        <v>12963.62</v>
      </c>
      <c r="K95" s="3">
        <v>5133.16</v>
      </c>
      <c r="L95" t="s">
        <v>17</v>
      </c>
      <c r="M95" s="7">
        <f t="shared" si="1"/>
        <v>0.28365046157382695</v>
      </c>
    </row>
    <row r="96" spans="1:13" x14ac:dyDescent="0.35">
      <c r="A96" t="s">
        <v>140</v>
      </c>
      <c r="B96" s="2">
        <v>45831</v>
      </c>
      <c r="C96" t="s">
        <v>29</v>
      </c>
      <c r="D96" t="s">
        <v>14</v>
      </c>
      <c r="E96" t="s">
        <v>26</v>
      </c>
      <c r="F96" t="s">
        <v>27</v>
      </c>
      <c r="G96">
        <v>11</v>
      </c>
      <c r="H96" s="3">
        <v>12194.09</v>
      </c>
      <c r="I96" s="3">
        <v>134134.99</v>
      </c>
      <c r="J96" s="3">
        <v>94677.48</v>
      </c>
      <c r="K96" s="3">
        <v>39457.51</v>
      </c>
      <c r="L96" t="s">
        <v>23</v>
      </c>
      <c r="M96" s="7">
        <f t="shared" si="1"/>
        <v>0.29416269386533672</v>
      </c>
    </row>
    <row r="97" spans="1:13" x14ac:dyDescent="0.35">
      <c r="A97" t="s">
        <v>141</v>
      </c>
      <c r="B97" s="2">
        <v>45896</v>
      </c>
      <c r="C97" t="s">
        <v>42</v>
      </c>
      <c r="D97" t="s">
        <v>33</v>
      </c>
      <c r="E97" t="s">
        <v>46</v>
      </c>
      <c r="F97" t="s">
        <v>51</v>
      </c>
      <c r="G97">
        <v>6</v>
      </c>
      <c r="H97" s="3">
        <v>3033.75</v>
      </c>
      <c r="I97" s="3">
        <v>18202.5</v>
      </c>
      <c r="J97" s="3">
        <v>13985.51</v>
      </c>
      <c r="K97" s="3">
        <v>4216.99</v>
      </c>
      <c r="L97" t="s">
        <v>17</v>
      </c>
      <c r="M97" s="7">
        <f t="shared" si="1"/>
        <v>0.23167092432358191</v>
      </c>
    </row>
    <row r="98" spans="1:13" x14ac:dyDescent="0.35">
      <c r="A98" t="s">
        <v>142</v>
      </c>
      <c r="B98" s="2">
        <v>45949</v>
      </c>
      <c r="C98" t="s">
        <v>13</v>
      </c>
      <c r="D98" t="s">
        <v>30</v>
      </c>
      <c r="E98" t="s">
        <v>21</v>
      </c>
      <c r="F98" t="s">
        <v>63</v>
      </c>
      <c r="G98">
        <v>11</v>
      </c>
      <c r="H98" s="3">
        <v>6637.72</v>
      </c>
      <c r="I98" s="3">
        <v>73014.92</v>
      </c>
      <c r="J98" s="3">
        <v>62111.69</v>
      </c>
      <c r="K98" s="3">
        <v>10903.23</v>
      </c>
      <c r="L98" t="s">
        <v>52</v>
      </c>
      <c r="M98" s="7">
        <f t="shared" si="1"/>
        <v>0.14932879471757279</v>
      </c>
    </row>
    <row r="99" spans="1:13" x14ac:dyDescent="0.35">
      <c r="A99" t="s">
        <v>143</v>
      </c>
      <c r="B99" s="2">
        <v>45784</v>
      </c>
      <c r="C99" t="s">
        <v>29</v>
      </c>
      <c r="D99" t="s">
        <v>44</v>
      </c>
      <c r="E99" t="s">
        <v>21</v>
      </c>
      <c r="F99" t="s">
        <v>63</v>
      </c>
      <c r="G99">
        <v>4</v>
      </c>
      <c r="H99" s="3">
        <v>7094.61</v>
      </c>
      <c r="I99" s="3">
        <v>28378.44</v>
      </c>
      <c r="J99" s="3">
        <v>20470.78</v>
      </c>
      <c r="K99" s="3">
        <v>7907.66</v>
      </c>
      <c r="L99" t="s">
        <v>17</v>
      </c>
      <c r="M99" s="7">
        <f t="shared" si="1"/>
        <v>0.27865027112131607</v>
      </c>
    </row>
    <row r="100" spans="1:13" x14ac:dyDescent="0.35">
      <c r="A100" t="s">
        <v>144</v>
      </c>
      <c r="B100" s="2">
        <v>46007</v>
      </c>
      <c r="C100" t="s">
        <v>19</v>
      </c>
      <c r="D100" t="s">
        <v>44</v>
      </c>
      <c r="E100" t="s">
        <v>21</v>
      </c>
      <c r="F100" t="s">
        <v>101</v>
      </c>
      <c r="G100">
        <v>5</v>
      </c>
      <c r="H100" s="3">
        <v>7809.02</v>
      </c>
      <c r="I100" s="3">
        <v>39045.1</v>
      </c>
      <c r="J100" s="3">
        <v>24418.22</v>
      </c>
      <c r="K100" s="3">
        <v>14626.88</v>
      </c>
      <c r="L100" t="s">
        <v>52</v>
      </c>
      <c r="M100" s="7">
        <f t="shared" si="1"/>
        <v>0.37461499650404273</v>
      </c>
    </row>
    <row r="101" spans="1:13" x14ac:dyDescent="0.35">
      <c r="A101" t="s">
        <v>145</v>
      </c>
      <c r="B101" s="2">
        <v>45834</v>
      </c>
      <c r="C101" t="s">
        <v>13</v>
      </c>
      <c r="D101" t="s">
        <v>54</v>
      </c>
      <c r="E101" t="s">
        <v>26</v>
      </c>
      <c r="F101" t="s">
        <v>49</v>
      </c>
      <c r="G101">
        <v>11</v>
      </c>
      <c r="H101" s="3">
        <v>1376.02</v>
      </c>
      <c r="I101" s="3">
        <v>15136.22</v>
      </c>
      <c r="J101" s="3">
        <v>12425.37</v>
      </c>
      <c r="K101" s="3">
        <v>2710.85</v>
      </c>
      <c r="L101" t="s">
        <v>23</v>
      </c>
      <c r="M101" s="7">
        <f t="shared" si="1"/>
        <v>0.17909689473329538</v>
      </c>
    </row>
    <row r="102" spans="1:13" x14ac:dyDescent="0.35">
      <c r="A102" t="s">
        <v>146</v>
      </c>
      <c r="B102" s="2">
        <v>45780</v>
      </c>
      <c r="C102" t="s">
        <v>29</v>
      </c>
      <c r="D102" t="s">
        <v>30</v>
      </c>
      <c r="E102" t="s">
        <v>21</v>
      </c>
      <c r="F102" t="s">
        <v>101</v>
      </c>
      <c r="G102">
        <v>16</v>
      </c>
      <c r="H102" s="3">
        <v>7959.32</v>
      </c>
      <c r="I102" s="3">
        <v>127349.12</v>
      </c>
      <c r="J102" s="3">
        <v>80652.639999999999</v>
      </c>
      <c r="K102" s="3">
        <v>46696.480000000003</v>
      </c>
      <c r="L102" t="s">
        <v>23</v>
      </c>
      <c r="M102" s="7">
        <f t="shared" si="1"/>
        <v>0.36668082197976715</v>
      </c>
    </row>
    <row r="103" spans="1:13" x14ac:dyDescent="0.35">
      <c r="A103" t="s">
        <v>147</v>
      </c>
      <c r="B103" s="2">
        <v>45998</v>
      </c>
      <c r="C103" t="s">
        <v>19</v>
      </c>
      <c r="D103" t="s">
        <v>20</v>
      </c>
      <c r="E103" t="s">
        <v>26</v>
      </c>
      <c r="F103" t="s">
        <v>49</v>
      </c>
      <c r="G103">
        <v>17</v>
      </c>
      <c r="H103" s="3">
        <v>1613.2</v>
      </c>
      <c r="I103" s="3">
        <v>27424.400000000001</v>
      </c>
      <c r="J103" s="3">
        <v>21611.4</v>
      </c>
      <c r="K103" s="3">
        <v>5813</v>
      </c>
      <c r="L103" t="s">
        <v>17</v>
      </c>
      <c r="M103" s="7">
        <f t="shared" si="1"/>
        <v>0.211964527938624</v>
      </c>
    </row>
    <row r="104" spans="1:13" x14ac:dyDescent="0.35">
      <c r="A104" t="s">
        <v>148</v>
      </c>
      <c r="B104" s="2">
        <v>45966</v>
      </c>
      <c r="C104" t="s">
        <v>42</v>
      </c>
      <c r="D104" t="s">
        <v>30</v>
      </c>
      <c r="E104" t="s">
        <v>15</v>
      </c>
      <c r="F104" t="s">
        <v>34</v>
      </c>
      <c r="G104">
        <v>1</v>
      </c>
      <c r="H104" s="3">
        <v>119.48</v>
      </c>
      <c r="I104" s="3">
        <v>119.48</v>
      </c>
      <c r="J104" s="3">
        <v>88.7</v>
      </c>
      <c r="K104" s="3">
        <v>30.78</v>
      </c>
      <c r="L104" t="s">
        <v>52</v>
      </c>
      <c r="M104" s="7">
        <f t="shared" si="1"/>
        <v>0.25761633746233681</v>
      </c>
    </row>
    <row r="105" spans="1:13" x14ac:dyDescent="0.35">
      <c r="A105" t="s">
        <v>149</v>
      </c>
      <c r="B105" s="2">
        <v>45670</v>
      </c>
      <c r="C105" t="s">
        <v>42</v>
      </c>
      <c r="D105" t="s">
        <v>44</v>
      </c>
      <c r="E105" t="s">
        <v>21</v>
      </c>
      <c r="F105" t="s">
        <v>101</v>
      </c>
      <c r="G105">
        <v>3</v>
      </c>
      <c r="H105" s="3">
        <v>7501.97</v>
      </c>
      <c r="I105" s="3">
        <v>22505.91</v>
      </c>
      <c r="J105" s="3">
        <v>16674.080000000002</v>
      </c>
      <c r="K105" s="3">
        <v>5831.83</v>
      </c>
      <c r="L105" t="s">
        <v>52</v>
      </c>
      <c r="M105" s="7">
        <f t="shared" si="1"/>
        <v>0.25912438110700703</v>
      </c>
    </row>
    <row r="106" spans="1:13" x14ac:dyDescent="0.35">
      <c r="A106" t="s">
        <v>150</v>
      </c>
      <c r="B106" s="2">
        <v>45877</v>
      </c>
      <c r="C106" t="s">
        <v>13</v>
      </c>
      <c r="D106" t="s">
        <v>54</v>
      </c>
      <c r="E106" t="s">
        <v>21</v>
      </c>
      <c r="F106" t="s">
        <v>63</v>
      </c>
      <c r="G106">
        <v>11</v>
      </c>
      <c r="H106" s="3">
        <v>5955.2</v>
      </c>
      <c r="I106" s="3">
        <v>65507.199999999997</v>
      </c>
      <c r="J106" s="3">
        <v>41006.949999999997</v>
      </c>
      <c r="K106" s="3">
        <v>24500.25</v>
      </c>
      <c r="L106" t="s">
        <v>17</v>
      </c>
      <c r="M106" s="7">
        <f t="shared" si="1"/>
        <v>0.37400850593522544</v>
      </c>
    </row>
    <row r="107" spans="1:13" x14ac:dyDescent="0.35">
      <c r="A107" t="s">
        <v>151</v>
      </c>
      <c r="B107" s="2">
        <v>45661</v>
      </c>
      <c r="C107" t="s">
        <v>29</v>
      </c>
      <c r="D107" t="s">
        <v>54</v>
      </c>
      <c r="E107" t="s">
        <v>26</v>
      </c>
      <c r="F107" t="s">
        <v>49</v>
      </c>
      <c r="G107">
        <v>7</v>
      </c>
      <c r="H107" s="3">
        <v>1458.24</v>
      </c>
      <c r="I107" s="3">
        <v>10207.68</v>
      </c>
      <c r="J107" s="3">
        <v>7651.76</v>
      </c>
      <c r="K107" s="3">
        <v>2555.92</v>
      </c>
      <c r="L107" t="s">
        <v>52</v>
      </c>
      <c r="M107" s="7">
        <f t="shared" si="1"/>
        <v>0.25039186181384998</v>
      </c>
    </row>
    <row r="108" spans="1:13" x14ac:dyDescent="0.35">
      <c r="A108" t="s">
        <v>152</v>
      </c>
      <c r="B108" s="2">
        <v>45688</v>
      </c>
      <c r="C108" t="s">
        <v>13</v>
      </c>
      <c r="D108" t="s">
        <v>54</v>
      </c>
      <c r="E108" t="s">
        <v>21</v>
      </c>
      <c r="F108" t="s">
        <v>63</v>
      </c>
      <c r="G108">
        <v>5</v>
      </c>
      <c r="H108" s="3">
        <v>7071.19</v>
      </c>
      <c r="I108" s="3">
        <v>35355.949999999997</v>
      </c>
      <c r="J108" s="3">
        <v>25510.31</v>
      </c>
      <c r="K108" s="3">
        <v>9845.64</v>
      </c>
      <c r="L108" t="s">
        <v>52</v>
      </c>
      <c r="M108" s="7">
        <f t="shared" si="1"/>
        <v>0.27847194036647299</v>
      </c>
    </row>
    <row r="109" spans="1:13" x14ac:dyDescent="0.35">
      <c r="A109" t="s">
        <v>153</v>
      </c>
      <c r="B109" s="2">
        <v>45920</v>
      </c>
      <c r="C109" t="s">
        <v>19</v>
      </c>
      <c r="D109" t="s">
        <v>30</v>
      </c>
      <c r="E109" t="s">
        <v>21</v>
      </c>
      <c r="F109" t="s">
        <v>22</v>
      </c>
      <c r="G109">
        <v>7</v>
      </c>
      <c r="H109" s="3">
        <v>10575.86</v>
      </c>
      <c r="I109" s="3">
        <v>74031.02</v>
      </c>
      <c r="J109" s="3">
        <v>56064.93</v>
      </c>
      <c r="K109" s="3">
        <v>17966.09</v>
      </c>
      <c r="L109" t="s">
        <v>17</v>
      </c>
      <c r="M109" s="7">
        <f t="shared" si="1"/>
        <v>0.24268326979690405</v>
      </c>
    </row>
    <row r="110" spans="1:13" x14ac:dyDescent="0.35">
      <c r="A110" t="s">
        <v>154</v>
      </c>
      <c r="B110" s="2">
        <v>45944</v>
      </c>
      <c r="C110" t="s">
        <v>29</v>
      </c>
      <c r="D110" t="s">
        <v>39</v>
      </c>
      <c r="E110" t="s">
        <v>21</v>
      </c>
      <c r="F110" t="s">
        <v>63</v>
      </c>
      <c r="G110">
        <v>15</v>
      </c>
      <c r="H110" s="3">
        <v>6043.9</v>
      </c>
      <c r="I110" s="3">
        <v>90658.5</v>
      </c>
      <c r="J110" s="3">
        <v>65465.94</v>
      </c>
      <c r="K110" s="3">
        <v>25192.560000000001</v>
      </c>
      <c r="L110" t="s">
        <v>23</v>
      </c>
      <c r="M110" s="7">
        <f t="shared" si="1"/>
        <v>0.27788414765300551</v>
      </c>
    </row>
    <row r="111" spans="1:13" x14ac:dyDescent="0.35">
      <c r="A111" t="s">
        <v>155</v>
      </c>
      <c r="B111" s="2">
        <v>45865</v>
      </c>
      <c r="C111" t="s">
        <v>19</v>
      </c>
      <c r="D111" t="s">
        <v>68</v>
      </c>
      <c r="E111" t="s">
        <v>46</v>
      </c>
      <c r="F111" t="s">
        <v>70</v>
      </c>
      <c r="G111">
        <v>20</v>
      </c>
      <c r="H111" s="3">
        <v>2309.16</v>
      </c>
      <c r="I111" s="3">
        <v>46183.199999999997</v>
      </c>
      <c r="J111" s="3">
        <v>31642.67</v>
      </c>
      <c r="K111" s="3">
        <v>14540.53</v>
      </c>
      <c r="L111" t="s">
        <v>52</v>
      </c>
      <c r="M111" s="7">
        <f t="shared" si="1"/>
        <v>0.31484457551663814</v>
      </c>
    </row>
    <row r="112" spans="1:13" x14ac:dyDescent="0.35">
      <c r="A112" t="s">
        <v>156</v>
      </c>
      <c r="B112" s="2">
        <v>46004</v>
      </c>
      <c r="C112" t="s">
        <v>19</v>
      </c>
      <c r="D112" t="s">
        <v>44</v>
      </c>
      <c r="E112" t="s">
        <v>21</v>
      </c>
      <c r="F112" t="s">
        <v>101</v>
      </c>
      <c r="G112">
        <v>1</v>
      </c>
      <c r="H112" s="3">
        <v>8711.5</v>
      </c>
      <c r="I112" s="3">
        <v>8711.5</v>
      </c>
      <c r="J112" s="3">
        <v>5733.31</v>
      </c>
      <c r="K112" s="3">
        <v>2978.19</v>
      </c>
      <c r="L112" t="s">
        <v>52</v>
      </c>
      <c r="M112" s="7">
        <f t="shared" si="1"/>
        <v>0.34186879412271137</v>
      </c>
    </row>
    <row r="113" spans="1:13" x14ac:dyDescent="0.35">
      <c r="A113" t="s">
        <v>157</v>
      </c>
      <c r="B113" s="2">
        <v>45728</v>
      </c>
      <c r="C113" t="s">
        <v>29</v>
      </c>
      <c r="D113" t="s">
        <v>30</v>
      </c>
      <c r="E113" t="s">
        <v>15</v>
      </c>
      <c r="F113" t="s">
        <v>34</v>
      </c>
      <c r="G113">
        <v>10</v>
      </c>
      <c r="H113" s="3">
        <v>118.22</v>
      </c>
      <c r="I113" s="3">
        <v>1182.2</v>
      </c>
      <c r="J113" s="3">
        <v>944.2</v>
      </c>
      <c r="K113" s="3">
        <v>238</v>
      </c>
      <c r="L113" t="s">
        <v>23</v>
      </c>
      <c r="M113" s="7">
        <f t="shared" si="1"/>
        <v>0.20131957367619691</v>
      </c>
    </row>
    <row r="114" spans="1:13" x14ac:dyDescent="0.35">
      <c r="A114" t="s">
        <v>158</v>
      </c>
      <c r="B114" s="2">
        <v>45674</v>
      </c>
      <c r="C114" t="s">
        <v>42</v>
      </c>
      <c r="D114" t="s">
        <v>54</v>
      </c>
      <c r="E114" t="s">
        <v>46</v>
      </c>
      <c r="F114" t="s">
        <v>51</v>
      </c>
      <c r="G114">
        <v>18</v>
      </c>
      <c r="H114" s="3">
        <v>3007.45</v>
      </c>
      <c r="I114" s="3">
        <v>54134.1</v>
      </c>
      <c r="J114" s="3">
        <v>42764.37</v>
      </c>
      <c r="K114" s="3">
        <v>11369.73</v>
      </c>
      <c r="L114" t="s">
        <v>52</v>
      </c>
      <c r="M114" s="7">
        <f t="shared" si="1"/>
        <v>0.21002898357966604</v>
      </c>
    </row>
    <row r="115" spans="1:13" x14ac:dyDescent="0.35">
      <c r="A115" t="s">
        <v>159</v>
      </c>
      <c r="B115" s="2">
        <v>45918</v>
      </c>
      <c r="C115" t="s">
        <v>19</v>
      </c>
      <c r="D115" t="s">
        <v>20</v>
      </c>
      <c r="E115" t="s">
        <v>15</v>
      </c>
      <c r="F115" t="s">
        <v>16</v>
      </c>
      <c r="G115">
        <v>16</v>
      </c>
      <c r="H115" s="3">
        <v>248.25</v>
      </c>
      <c r="I115" s="3">
        <v>3972</v>
      </c>
      <c r="J115" s="3">
        <v>2634.05</v>
      </c>
      <c r="K115" s="3">
        <v>1337.95</v>
      </c>
      <c r="L115" t="s">
        <v>52</v>
      </c>
      <c r="M115" s="7">
        <f t="shared" si="1"/>
        <v>0.33684541792547834</v>
      </c>
    </row>
    <row r="116" spans="1:13" x14ac:dyDescent="0.35">
      <c r="A116" t="s">
        <v>160</v>
      </c>
      <c r="B116" s="2">
        <v>45912</v>
      </c>
      <c r="C116" t="s">
        <v>19</v>
      </c>
      <c r="D116" t="s">
        <v>36</v>
      </c>
      <c r="E116" t="s">
        <v>15</v>
      </c>
      <c r="F116" t="s">
        <v>34</v>
      </c>
      <c r="G116">
        <v>3</v>
      </c>
      <c r="H116" s="3">
        <v>115.59</v>
      </c>
      <c r="I116" s="3">
        <v>346.77</v>
      </c>
      <c r="J116" s="3">
        <v>260.39</v>
      </c>
      <c r="K116" s="3">
        <v>86.38</v>
      </c>
      <c r="L116" t="s">
        <v>52</v>
      </c>
      <c r="M116" s="7">
        <f t="shared" si="1"/>
        <v>0.24909882631138794</v>
      </c>
    </row>
    <row r="117" spans="1:13" x14ac:dyDescent="0.35">
      <c r="A117" t="s">
        <v>161</v>
      </c>
      <c r="B117" s="2">
        <v>45991</v>
      </c>
      <c r="C117" t="s">
        <v>42</v>
      </c>
      <c r="D117" t="s">
        <v>20</v>
      </c>
      <c r="E117" t="s">
        <v>26</v>
      </c>
      <c r="F117" t="s">
        <v>65</v>
      </c>
      <c r="G117">
        <v>7</v>
      </c>
      <c r="H117" s="3">
        <v>741.77</v>
      </c>
      <c r="I117" s="3">
        <v>5192.3900000000003</v>
      </c>
      <c r="J117" s="3">
        <v>3873.23</v>
      </c>
      <c r="K117" s="3">
        <v>1319.16</v>
      </c>
      <c r="L117" t="s">
        <v>23</v>
      </c>
      <c r="M117" s="7">
        <f t="shared" si="1"/>
        <v>0.2540564171797573</v>
      </c>
    </row>
    <row r="118" spans="1:13" x14ac:dyDescent="0.35">
      <c r="A118" t="s">
        <v>162</v>
      </c>
      <c r="B118" s="2">
        <v>45790</v>
      </c>
      <c r="C118" t="s">
        <v>42</v>
      </c>
      <c r="D118" t="s">
        <v>20</v>
      </c>
      <c r="E118" t="s">
        <v>15</v>
      </c>
      <c r="F118" t="s">
        <v>16</v>
      </c>
      <c r="G118">
        <v>16</v>
      </c>
      <c r="H118" s="3">
        <v>260.56</v>
      </c>
      <c r="I118" s="3">
        <v>4168.96</v>
      </c>
      <c r="J118" s="3">
        <v>3360.23</v>
      </c>
      <c r="K118" s="3">
        <v>808.73</v>
      </c>
      <c r="L118" t="s">
        <v>52</v>
      </c>
      <c r="M118" s="7">
        <f t="shared" si="1"/>
        <v>0.19398842876880565</v>
      </c>
    </row>
    <row r="119" spans="1:13" x14ac:dyDescent="0.35">
      <c r="A119" t="s">
        <v>163</v>
      </c>
      <c r="B119" s="2">
        <v>45815</v>
      </c>
      <c r="C119" t="s">
        <v>13</v>
      </c>
      <c r="D119" t="s">
        <v>33</v>
      </c>
      <c r="E119" t="s">
        <v>15</v>
      </c>
      <c r="F119" t="s">
        <v>34</v>
      </c>
      <c r="G119">
        <v>6</v>
      </c>
      <c r="H119" s="3">
        <v>114.65</v>
      </c>
      <c r="I119" s="3">
        <v>687.9</v>
      </c>
      <c r="J119" s="3">
        <v>578.45000000000005</v>
      </c>
      <c r="K119" s="3">
        <v>109.45</v>
      </c>
      <c r="L119" t="s">
        <v>52</v>
      </c>
      <c r="M119" s="7">
        <f t="shared" si="1"/>
        <v>0.15910742840529149</v>
      </c>
    </row>
    <row r="120" spans="1:13" x14ac:dyDescent="0.35">
      <c r="A120" t="s">
        <v>164</v>
      </c>
      <c r="B120" s="2">
        <v>45774</v>
      </c>
      <c r="C120" t="s">
        <v>13</v>
      </c>
      <c r="D120" t="s">
        <v>39</v>
      </c>
      <c r="E120" t="s">
        <v>15</v>
      </c>
      <c r="F120" t="s">
        <v>34</v>
      </c>
      <c r="G120">
        <v>5</v>
      </c>
      <c r="H120" s="3">
        <v>116.4</v>
      </c>
      <c r="I120" s="3">
        <v>582</v>
      </c>
      <c r="J120" s="3">
        <v>483.26</v>
      </c>
      <c r="K120" s="3">
        <v>98.74</v>
      </c>
      <c r="L120" t="s">
        <v>52</v>
      </c>
      <c r="M120" s="7">
        <f t="shared" si="1"/>
        <v>0.16965635738831614</v>
      </c>
    </row>
    <row r="121" spans="1:13" x14ac:dyDescent="0.35">
      <c r="A121" t="s">
        <v>165</v>
      </c>
      <c r="B121" s="2">
        <v>45831</v>
      </c>
      <c r="C121" t="s">
        <v>29</v>
      </c>
      <c r="D121" t="s">
        <v>25</v>
      </c>
      <c r="E121" t="s">
        <v>15</v>
      </c>
      <c r="F121" t="s">
        <v>37</v>
      </c>
      <c r="G121">
        <v>10</v>
      </c>
      <c r="H121" s="3">
        <v>347.51</v>
      </c>
      <c r="I121" s="3">
        <v>3475.1</v>
      </c>
      <c r="J121" s="3">
        <v>2723.88</v>
      </c>
      <c r="K121" s="3">
        <v>751.22</v>
      </c>
      <c r="L121" t="s">
        <v>52</v>
      </c>
      <c r="M121" s="7">
        <f t="shared" si="1"/>
        <v>0.21617219648355446</v>
      </c>
    </row>
    <row r="122" spans="1:13" x14ac:dyDescent="0.35">
      <c r="A122" t="s">
        <v>166</v>
      </c>
      <c r="B122" s="2">
        <v>45982</v>
      </c>
      <c r="C122" t="s">
        <v>29</v>
      </c>
      <c r="D122" t="s">
        <v>33</v>
      </c>
      <c r="E122" t="s">
        <v>26</v>
      </c>
      <c r="F122" t="s">
        <v>65</v>
      </c>
      <c r="G122">
        <v>1</v>
      </c>
      <c r="H122" s="3">
        <v>769.59</v>
      </c>
      <c r="I122" s="3">
        <v>769.59</v>
      </c>
      <c r="J122" s="3">
        <v>562.32000000000005</v>
      </c>
      <c r="K122" s="3">
        <v>207.27</v>
      </c>
      <c r="L122" t="s">
        <v>17</v>
      </c>
      <c r="M122" s="7">
        <f t="shared" si="1"/>
        <v>0.26932522511986901</v>
      </c>
    </row>
    <row r="123" spans="1:13" x14ac:dyDescent="0.35">
      <c r="A123" t="s">
        <v>167</v>
      </c>
      <c r="B123" s="2">
        <v>45799</v>
      </c>
      <c r="C123" t="s">
        <v>13</v>
      </c>
      <c r="D123" t="s">
        <v>36</v>
      </c>
      <c r="E123" t="s">
        <v>21</v>
      </c>
      <c r="F123" t="s">
        <v>22</v>
      </c>
      <c r="G123">
        <v>10</v>
      </c>
      <c r="H123" s="3">
        <v>11052.96</v>
      </c>
      <c r="I123" s="3">
        <v>110529.60000000001</v>
      </c>
      <c r="J123" s="3">
        <v>92950.21</v>
      </c>
      <c r="K123" s="3">
        <v>17579.39</v>
      </c>
      <c r="L123" t="s">
        <v>23</v>
      </c>
      <c r="M123" s="7">
        <f t="shared" si="1"/>
        <v>0.15904689784455928</v>
      </c>
    </row>
    <row r="124" spans="1:13" x14ac:dyDescent="0.35">
      <c r="A124" t="s">
        <v>168</v>
      </c>
      <c r="B124" s="2">
        <v>45785</v>
      </c>
      <c r="C124" t="s">
        <v>29</v>
      </c>
      <c r="D124" t="s">
        <v>39</v>
      </c>
      <c r="E124" t="s">
        <v>26</v>
      </c>
      <c r="F124" t="s">
        <v>31</v>
      </c>
      <c r="G124">
        <v>14</v>
      </c>
      <c r="H124" s="3">
        <v>44805.97</v>
      </c>
      <c r="I124" s="3">
        <v>627283.57999999996</v>
      </c>
      <c r="J124" s="3">
        <v>450078.85</v>
      </c>
      <c r="K124" s="3">
        <v>177204.73</v>
      </c>
      <c r="L124" t="s">
        <v>17</v>
      </c>
      <c r="M124" s="7">
        <f t="shared" si="1"/>
        <v>0.28249540662295036</v>
      </c>
    </row>
    <row r="125" spans="1:13" x14ac:dyDescent="0.35">
      <c r="A125" t="s">
        <v>169</v>
      </c>
      <c r="B125" s="2">
        <v>45759</v>
      </c>
      <c r="C125" t="s">
        <v>42</v>
      </c>
      <c r="D125" t="s">
        <v>33</v>
      </c>
      <c r="E125" t="s">
        <v>21</v>
      </c>
      <c r="F125" t="s">
        <v>22</v>
      </c>
      <c r="G125">
        <v>7</v>
      </c>
      <c r="H125" s="3">
        <v>11205.49</v>
      </c>
      <c r="I125" s="3">
        <v>78438.429999999993</v>
      </c>
      <c r="J125" s="3">
        <v>52762.96</v>
      </c>
      <c r="K125" s="3">
        <v>25675.47</v>
      </c>
      <c r="L125" t="s">
        <v>17</v>
      </c>
      <c r="M125" s="7">
        <f t="shared" si="1"/>
        <v>0.32733278827737888</v>
      </c>
    </row>
    <row r="126" spans="1:13" x14ac:dyDescent="0.35">
      <c r="A126" t="s">
        <v>170</v>
      </c>
      <c r="B126" s="2">
        <v>45953</v>
      </c>
      <c r="C126" t="s">
        <v>13</v>
      </c>
      <c r="D126" t="s">
        <v>25</v>
      </c>
      <c r="E126" t="s">
        <v>15</v>
      </c>
      <c r="F126" t="s">
        <v>34</v>
      </c>
      <c r="G126">
        <v>6</v>
      </c>
      <c r="H126" s="3">
        <v>126.03</v>
      </c>
      <c r="I126" s="3">
        <v>756.18</v>
      </c>
      <c r="J126" s="3">
        <v>627.97</v>
      </c>
      <c r="K126" s="3">
        <v>128.21</v>
      </c>
      <c r="L126" t="s">
        <v>52</v>
      </c>
      <c r="M126" s="7">
        <f t="shared" si="1"/>
        <v>0.16954957814277027</v>
      </c>
    </row>
    <row r="127" spans="1:13" x14ac:dyDescent="0.35">
      <c r="A127" t="s">
        <v>171</v>
      </c>
      <c r="B127" s="2">
        <v>45901</v>
      </c>
      <c r="C127" t="s">
        <v>42</v>
      </c>
      <c r="D127" t="s">
        <v>25</v>
      </c>
      <c r="E127" t="s">
        <v>15</v>
      </c>
      <c r="F127" t="s">
        <v>37</v>
      </c>
      <c r="G127">
        <v>10</v>
      </c>
      <c r="H127" s="3">
        <v>382.58</v>
      </c>
      <c r="I127" s="3">
        <v>3825.8</v>
      </c>
      <c r="J127" s="3">
        <v>3168.7</v>
      </c>
      <c r="K127" s="3">
        <v>657.1</v>
      </c>
      <c r="L127" t="s">
        <v>52</v>
      </c>
      <c r="M127" s="7">
        <f t="shared" si="1"/>
        <v>0.171754927074076</v>
      </c>
    </row>
    <row r="128" spans="1:13" x14ac:dyDescent="0.35">
      <c r="A128" t="s">
        <v>172</v>
      </c>
      <c r="B128" s="2">
        <v>45893</v>
      </c>
      <c r="C128" t="s">
        <v>19</v>
      </c>
      <c r="D128" t="s">
        <v>25</v>
      </c>
      <c r="E128" t="s">
        <v>46</v>
      </c>
      <c r="F128" t="s">
        <v>51</v>
      </c>
      <c r="G128">
        <v>10</v>
      </c>
      <c r="H128" s="3">
        <v>3552.9</v>
      </c>
      <c r="I128" s="3">
        <v>35529</v>
      </c>
      <c r="J128" s="3">
        <v>23288.21</v>
      </c>
      <c r="K128" s="3">
        <v>12240.79</v>
      </c>
      <c r="L128" t="s">
        <v>17</v>
      </c>
      <c r="M128" s="7">
        <f t="shared" si="1"/>
        <v>0.34452953924962709</v>
      </c>
    </row>
    <row r="129" spans="1:13" x14ac:dyDescent="0.35">
      <c r="A129" t="s">
        <v>173</v>
      </c>
      <c r="B129" s="2">
        <v>45819</v>
      </c>
      <c r="C129" t="s">
        <v>13</v>
      </c>
      <c r="D129" t="s">
        <v>33</v>
      </c>
      <c r="E129" t="s">
        <v>21</v>
      </c>
      <c r="F129" t="s">
        <v>63</v>
      </c>
      <c r="G129">
        <v>9</v>
      </c>
      <c r="H129" s="3">
        <v>7022.29</v>
      </c>
      <c r="I129" s="3">
        <v>63200.61</v>
      </c>
      <c r="J129" s="3">
        <v>51818.91</v>
      </c>
      <c r="K129" s="3">
        <v>11381.7</v>
      </c>
      <c r="L129" t="s">
        <v>23</v>
      </c>
      <c r="M129" s="7">
        <f t="shared" si="1"/>
        <v>0.18008845167791895</v>
      </c>
    </row>
    <row r="130" spans="1:13" x14ac:dyDescent="0.35">
      <c r="A130" t="s">
        <v>174</v>
      </c>
      <c r="B130" s="2">
        <v>45813</v>
      </c>
      <c r="C130" t="s">
        <v>19</v>
      </c>
      <c r="D130" t="s">
        <v>33</v>
      </c>
      <c r="E130" t="s">
        <v>21</v>
      </c>
      <c r="F130" t="s">
        <v>22</v>
      </c>
      <c r="G130">
        <v>8</v>
      </c>
      <c r="H130" s="3">
        <v>11462.11</v>
      </c>
      <c r="I130" s="3">
        <v>91696.88</v>
      </c>
      <c r="J130" s="3">
        <v>76810.600000000006</v>
      </c>
      <c r="K130" s="3">
        <v>14886.28</v>
      </c>
      <c r="L130" t="s">
        <v>52</v>
      </c>
      <c r="M130" s="7">
        <f t="shared" ref="M130:M193" si="2">K130/I130</f>
        <v>0.16234227380473579</v>
      </c>
    </row>
    <row r="131" spans="1:13" x14ac:dyDescent="0.35">
      <c r="A131" t="s">
        <v>175</v>
      </c>
      <c r="B131" s="2">
        <v>45701</v>
      </c>
      <c r="C131" t="s">
        <v>42</v>
      </c>
      <c r="D131" t="s">
        <v>54</v>
      </c>
      <c r="E131" t="s">
        <v>46</v>
      </c>
      <c r="F131" t="s">
        <v>51</v>
      </c>
      <c r="G131">
        <v>7</v>
      </c>
      <c r="H131" s="3">
        <v>3239.19</v>
      </c>
      <c r="I131" s="3">
        <v>22674.33</v>
      </c>
      <c r="J131" s="3">
        <v>16435.22</v>
      </c>
      <c r="K131" s="3">
        <v>6239.11</v>
      </c>
      <c r="L131" t="s">
        <v>52</v>
      </c>
      <c r="M131" s="7">
        <f t="shared" si="2"/>
        <v>0.27516182396569155</v>
      </c>
    </row>
    <row r="132" spans="1:13" x14ac:dyDescent="0.35">
      <c r="A132" t="s">
        <v>176</v>
      </c>
      <c r="B132" s="2">
        <v>45981</v>
      </c>
      <c r="C132" t="s">
        <v>42</v>
      </c>
      <c r="D132" t="s">
        <v>68</v>
      </c>
      <c r="E132" t="s">
        <v>15</v>
      </c>
      <c r="F132" t="s">
        <v>34</v>
      </c>
      <c r="G132">
        <v>1</v>
      </c>
      <c r="H132" s="3">
        <v>123.67</v>
      </c>
      <c r="I132" s="3">
        <v>123.67</v>
      </c>
      <c r="J132" s="3">
        <v>80.69</v>
      </c>
      <c r="K132" s="3">
        <v>42.98</v>
      </c>
      <c r="L132" t="s">
        <v>52</v>
      </c>
      <c r="M132" s="7">
        <f t="shared" si="2"/>
        <v>0.34753780221557368</v>
      </c>
    </row>
    <row r="133" spans="1:13" x14ac:dyDescent="0.35">
      <c r="A133" t="s">
        <v>177</v>
      </c>
      <c r="B133" s="2">
        <v>45784</v>
      </c>
      <c r="C133" t="s">
        <v>13</v>
      </c>
      <c r="D133" t="s">
        <v>30</v>
      </c>
      <c r="E133" t="s">
        <v>15</v>
      </c>
      <c r="F133" t="s">
        <v>37</v>
      </c>
      <c r="G133">
        <v>16</v>
      </c>
      <c r="H133" s="3">
        <v>353.46</v>
      </c>
      <c r="I133" s="3">
        <v>5655.36</v>
      </c>
      <c r="J133" s="3">
        <v>3663.17</v>
      </c>
      <c r="K133" s="3">
        <v>1992.19</v>
      </c>
      <c r="L133" t="s">
        <v>52</v>
      </c>
      <c r="M133" s="7">
        <f t="shared" si="2"/>
        <v>0.3522658150851582</v>
      </c>
    </row>
    <row r="134" spans="1:13" x14ac:dyDescent="0.35">
      <c r="A134" t="s">
        <v>178</v>
      </c>
      <c r="B134" s="2">
        <v>45740</v>
      </c>
      <c r="C134" t="s">
        <v>19</v>
      </c>
      <c r="D134" t="s">
        <v>68</v>
      </c>
      <c r="E134" t="s">
        <v>26</v>
      </c>
      <c r="F134" t="s">
        <v>49</v>
      </c>
      <c r="G134">
        <v>14</v>
      </c>
      <c r="H134" s="3">
        <v>1605.84</v>
      </c>
      <c r="I134" s="3">
        <v>22481.759999999998</v>
      </c>
      <c r="J134" s="3">
        <v>14425.36</v>
      </c>
      <c r="K134" s="3">
        <v>8056.4</v>
      </c>
      <c r="L134" t="s">
        <v>23</v>
      </c>
      <c r="M134" s="7">
        <f t="shared" si="2"/>
        <v>0.35835272683277469</v>
      </c>
    </row>
    <row r="135" spans="1:13" x14ac:dyDescent="0.35">
      <c r="A135" t="s">
        <v>179</v>
      </c>
      <c r="B135" s="2">
        <v>45793</v>
      </c>
      <c r="C135" t="s">
        <v>13</v>
      </c>
      <c r="D135" t="s">
        <v>14</v>
      </c>
      <c r="E135" t="s">
        <v>15</v>
      </c>
      <c r="F135" t="s">
        <v>16</v>
      </c>
      <c r="G135">
        <v>16</v>
      </c>
      <c r="H135" s="3">
        <v>276.89</v>
      </c>
      <c r="I135" s="3">
        <v>4430.24</v>
      </c>
      <c r="J135" s="3">
        <v>3453.28</v>
      </c>
      <c r="K135" s="3">
        <v>976.96</v>
      </c>
      <c r="L135" t="s">
        <v>23</v>
      </c>
      <c r="M135" s="7">
        <f t="shared" si="2"/>
        <v>0.2205207844270288</v>
      </c>
    </row>
    <row r="136" spans="1:13" x14ac:dyDescent="0.35">
      <c r="A136" t="s">
        <v>180</v>
      </c>
      <c r="B136" s="2">
        <v>45878</v>
      </c>
      <c r="C136" t="s">
        <v>13</v>
      </c>
      <c r="D136" t="s">
        <v>14</v>
      </c>
      <c r="E136" t="s">
        <v>15</v>
      </c>
      <c r="F136" t="s">
        <v>34</v>
      </c>
      <c r="G136">
        <v>2</v>
      </c>
      <c r="H136" s="3">
        <v>129.33000000000001</v>
      </c>
      <c r="I136" s="3">
        <v>258.66000000000003</v>
      </c>
      <c r="J136" s="3">
        <v>178.18</v>
      </c>
      <c r="K136" s="3">
        <v>80.48</v>
      </c>
      <c r="L136" t="s">
        <v>17</v>
      </c>
      <c r="M136" s="7">
        <f t="shared" si="2"/>
        <v>0.31114203974329235</v>
      </c>
    </row>
    <row r="137" spans="1:13" x14ac:dyDescent="0.35">
      <c r="A137" t="s">
        <v>181</v>
      </c>
      <c r="B137" s="2">
        <v>45916</v>
      </c>
      <c r="C137" t="s">
        <v>19</v>
      </c>
      <c r="D137" t="s">
        <v>25</v>
      </c>
      <c r="E137" t="s">
        <v>46</v>
      </c>
      <c r="F137" t="s">
        <v>51</v>
      </c>
      <c r="G137">
        <v>18</v>
      </c>
      <c r="H137" s="3">
        <v>2890.56</v>
      </c>
      <c r="I137" s="3">
        <v>52030.080000000002</v>
      </c>
      <c r="J137" s="3">
        <v>37749.870000000003</v>
      </c>
      <c r="K137" s="3">
        <v>14280.21</v>
      </c>
      <c r="L137" t="s">
        <v>17</v>
      </c>
      <c r="M137" s="7">
        <f t="shared" si="2"/>
        <v>0.27446065814236686</v>
      </c>
    </row>
    <row r="138" spans="1:13" x14ac:dyDescent="0.35">
      <c r="A138" t="s">
        <v>182</v>
      </c>
      <c r="B138" s="2">
        <v>45739</v>
      </c>
      <c r="C138" t="s">
        <v>29</v>
      </c>
      <c r="D138" t="s">
        <v>44</v>
      </c>
      <c r="E138" t="s">
        <v>15</v>
      </c>
      <c r="F138" t="s">
        <v>37</v>
      </c>
      <c r="G138">
        <v>9</v>
      </c>
      <c r="H138" s="3">
        <v>365.8</v>
      </c>
      <c r="I138" s="3">
        <v>3292.2</v>
      </c>
      <c r="J138" s="3">
        <v>2790.74</v>
      </c>
      <c r="K138" s="3">
        <v>501.46</v>
      </c>
      <c r="L138" t="s">
        <v>23</v>
      </c>
      <c r="M138" s="7">
        <f t="shared" si="2"/>
        <v>0.15231759917380475</v>
      </c>
    </row>
    <row r="139" spans="1:13" x14ac:dyDescent="0.35">
      <c r="A139" t="s">
        <v>183</v>
      </c>
      <c r="B139" s="2">
        <v>45960</v>
      </c>
      <c r="C139" t="s">
        <v>29</v>
      </c>
      <c r="D139" t="s">
        <v>36</v>
      </c>
      <c r="E139" t="s">
        <v>46</v>
      </c>
      <c r="F139" t="s">
        <v>51</v>
      </c>
      <c r="G139">
        <v>11</v>
      </c>
      <c r="H139" s="3">
        <v>3162.02</v>
      </c>
      <c r="I139" s="3">
        <v>34782.22</v>
      </c>
      <c r="J139" s="3">
        <v>23937.26</v>
      </c>
      <c r="K139" s="3">
        <v>10844.96</v>
      </c>
      <c r="L139" t="s">
        <v>17</v>
      </c>
      <c r="M139" s="7">
        <f t="shared" si="2"/>
        <v>0.31179608432124223</v>
      </c>
    </row>
    <row r="140" spans="1:13" x14ac:dyDescent="0.35">
      <c r="A140" t="s">
        <v>184</v>
      </c>
      <c r="B140" s="2">
        <v>45934</v>
      </c>
      <c r="C140" t="s">
        <v>19</v>
      </c>
      <c r="D140" t="s">
        <v>33</v>
      </c>
      <c r="E140" t="s">
        <v>46</v>
      </c>
      <c r="F140" t="s">
        <v>47</v>
      </c>
      <c r="G140">
        <v>9</v>
      </c>
      <c r="H140" s="3">
        <v>667.07</v>
      </c>
      <c r="I140" s="3">
        <v>6003.63</v>
      </c>
      <c r="J140" s="3">
        <v>4113.55</v>
      </c>
      <c r="K140" s="3">
        <v>1890.08</v>
      </c>
      <c r="L140" t="s">
        <v>17</v>
      </c>
      <c r="M140" s="7">
        <f t="shared" si="2"/>
        <v>0.31482286549970601</v>
      </c>
    </row>
    <row r="141" spans="1:13" x14ac:dyDescent="0.35">
      <c r="A141" t="s">
        <v>185</v>
      </c>
      <c r="B141" s="2">
        <v>45770</v>
      </c>
      <c r="C141" t="s">
        <v>13</v>
      </c>
      <c r="D141" t="s">
        <v>14</v>
      </c>
      <c r="E141" t="s">
        <v>15</v>
      </c>
      <c r="F141" t="s">
        <v>34</v>
      </c>
      <c r="G141">
        <v>14</v>
      </c>
      <c r="H141" s="3">
        <v>110.14</v>
      </c>
      <c r="I141" s="3">
        <v>1541.96</v>
      </c>
      <c r="J141" s="3">
        <v>1033.72</v>
      </c>
      <c r="K141" s="3">
        <v>508.24</v>
      </c>
      <c r="L141" t="s">
        <v>23</v>
      </c>
      <c r="M141" s="7">
        <f t="shared" si="2"/>
        <v>0.32960647487613165</v>
      </c>
    </row>
    <row r="142" spans="1:13" x14ac:dyDescent="0.35">
      <c r="A142" t="s">
        <v>186</v>
      </c>
      <c r="B142" s="2">
        <v>45931</v>
      </c>
      <c r="C142" t="s">
        <v>29</v>
      </c>
      <c r="D142" t="s">
        <v>44</v>
      </c>
      <c r="E142" t="s">
        <v>15</v>
      </c>
      <c r="F142" t="s">
        <v>37</v>
      </c>
      <c r="G142">
        <v>17</v>
      </c>
      <c r="H142" s="3">
        <v>348.38</v>
      </c>
      <c r="I142" s="3">
        <v>5922.46</v>
      </c>
      <c r="J142" s="3">
        <v>4541.38</v>
      </c>
      <c r="K142" s="3">
        <v>1381.08</v>
      </c>
      <c r="L142" t="s">
        <v>52</v>
      </c>
      <c r="M142" s="7">
        <f t="shared" si="2"/>
        <v>0.23319363912968596</v>
      </c>
    </row>
    <row r="143" spans="1:13" x14ac:dyDescent="0.35">
      <c r="A143" t="s">
        <v>187</v>
      </c>
      <c r="B143" s="2">
        <v>45923</v>
      </c>
      <c r="C143" t="s">
        <v>29</v>
      </c>
      <c r="D143" t="s">
        <v>33</v>
      </c>
      <c r="E143" t="s">
        <v>26</v>
      </c>
      <c r="F143" t="s">
        <v>65</v>
      </c>
      <c r="G143">
        <v>1</v>
      </c>
      <c r="H143" s="3">
        <v>709.6</v>
      </c>
      <c r="I143" s="3">
        <v>709.6</v>
      </c>
      <c r="J143" s="3">
        <v>606.78</v>
      </c>
      <c r="K143" s="3">
        <v>102.82</v>
      </c>
      <c r="L143" t="s">
        <v>52</v>
      </c>
      <c r="M143" s="7">
        <f t="shared" si="2"/>
        <v>0.14489853438556932</v>
      </c>
    </row>
    <row r="144" spans="1:13" x14ac:dyDescent="0.35">
      <c r="A144" t="s">
        <v>188</v>
      </c>
      <c r="B144" s="2">
        <v>45862</v>
      </c>
      <c r="C144" t="s">
        <v>19</v>
      </c>
      <c r="D144" t="s">
        <v>30</v>
      </c>
      <c r="E144" t="s">
        <v>46</v>
      </c>
      <c r="F144" t="s">
        <v>47</v>
      </c>
      <c r="G144">
        <v>6</v>
      </c>
      <c r="H144" s="3">
        <v>543.48</v>
      </c>
      <c r="I144" s="3">
        <v>3260.88</v>
      </c>
      <c r="J144" s="3">
        <v>2523.16</v>
      </c>
      <c r="K144" s="3">
        <v>737.72</v>
      </c>
      <c r="L144" t="s">
        <v>23</v>
      </c>
      <c r="M144" s="7">
        <f t="shared" si="2"/>
        <v>0.22623340938642331</v>
      </c>
    </row>
    <row r="145" spans="1:13" x14ac:dyDescent="0.35">
      <c r="A145" t="s">
        <v>189</v>
      </c>
      <c r="B145" s="2">
        <v>45667</v>
      </c>
      <c r="C145" t="s">
        <v>13</v>
      </c>
      <c r="D145" t="s">
        <v>36</v>
      </c>
      <c r="E145" t="s">
        <v>46</v>
      </c>
      <c r="F145" t="s">
        <v>47</v>
      </c>
      <c r="G145">
        <v>2</v>
      </c>
      <c r="H145" s="3">
        <v>602.80999999999995</v>
      </c>
      <c r="I145" s="3">
        <v>1205.6199999999999</v>
      </c>
      <c r="J145" s="3">
        <v>870.98</v>
      </c>
      <c r="K145" s="3">
        <v>334.64</v>
      </c>
      <c r="L145" t="s">
        <v>23</v>
      </c>
      <c r="M145" s="7">
        <f t="shared" si="2"/>
        <v>0.27756672915180575</v>
      </c>
    </row>
    <row r="146" spans="1:13" x14ac:dyDescent="0.35">
      <c r="A146" t="s">
        <v>190</v>
      </c>
      <c r="B146" s="2">
        <v>45690</v>
      </c>
      <c r="C146" t="s">
        <v>42</v>
      </c>
      <c r="D146" t="s">
        <v>44</v>
      </c>
      <c r="E146" t="s">
        <v>21</v>
      </c>
      <c r="F146" t="s">
        <v>63</v>
      </c>
      <c r="G146">
        <v>14</v>
      </c>
      <c r="H146" s="3">
        <v>6048.57</v>
      </c>
      <c r="I146" s="3">
        <v>84679.98</v>
      </c>
      <c r="J146" s="3">
        <v>69327.39</v>
      </c>
      <c r="K146" s="3">
        <v>15352.59</v>
      </c>
      <c r="L146" t="s">
        <v>23</v>
      </c>
      <c r="M146" s="7">
        <f t="shared" si="2"/>
        <v>0.18130129459170871</v>
      </c>
    </row>
    <row r="147" spans="1:13" x14ac:dyDescent="0.35">
      <c r="A147" t="s">
        <v>191</v>
      </c>
      <c r="B147" s="2">
        <v>45845</v>
      </c>
      <c r="C147" t="s">
        <v>13</v>
      </c>
      <c r="D147" t="s">
        <v>54</v>
      </c>
      <c r="E147" t="s">
        <v>46</v>
      </c>
      <c r="F147" t="s">
        <v>51</v>
      </c>
      <c r="G147">
        <v>2</v>
      </c>
      <c r="H147" s="3">
        <v>2919.6</v>
      </c>
      <c r="I147" s="3">
        <v>5839.2</v>
      </c>
      <c r="J147" s="3">
        <v>4492.12</v>
      </c>
      <c r="K147" s="3">
        <v>1347.08</v>
      </c>
      <c r="L147" t="s">
        <v>52</v>
      </c>
      <c r="M147" s="7">
        <f t="shared" si="2"/>
        <v>0.23069598575147279</v>
      </c>
    </row>
    <row r="148" spans="1:13" x14ac:dyDescent="0.35">
      <c r="A148" t="s">
        <v>192</v>
      </c>
      <c r="B148" s="2">
        <v>45804</v>
      </c>
      <c r="C148" t="s">
        <v>29</v>
      </c>
      <c r="D148" t="s">
        <v>44</v>
      </c>
      <c r="E148" t="s">
        <v>26</v>
      </c>
      <c r="F148" t="s">
        <v>31</v>
      </c>
      <c r="G148">
        <v>8</v>
      </c>
      <c r="H148" s="3">
        <v>48667.35</v>
      </c>
      <c r="I148" s="3">
        <v>389338.8</v>
      </c>
      <c r="J148" s="3">
        <v>251521.98</v>
      </c>
      <c r="K148" s="3">
        <v>137816.82</v>
      </c>
      <c r="L148" t="s">
        <v>17</v>
      </c>
      <c r="M148" s="7">
        <f t="shared" si="2"/>
        <v>0.35397658799996307</v>
      </c>
    </row>
    <row r="149" spans="1:13" x14ac:dyDescent="0.35">
      <c r="A149" t="s">
        <v>193</v>
      </c>
      <c r="B149" s="2">
        <v>45902</v>
      </c>
      <c r="C149" t="s">
        <v>13</v>
      </c>
      <c r="D149" t="s">
        <v>20</v>
      </c>
      <c r="E149" t="s">
        <v>46</v>
      </c>
      <c r="F149" t="s">
        <v>51</v>
      </c>
      <c r="G149">
        <v>14</v>
      </c>
      <c r="H149" s="3">
        <v>3439.92</v>
      </c>
      <c r="I149" s="3">
        <v>48158.879999999997</v>
      </c>
      <c r="J149" s="3">
        <v>33182.129999999997</v>
      </c>
      <c r="K149" s="3">
        <v>14976.75</v>
      </c>
      <c r="L149" t="s">
        <v>17</v>
      </c>
      <c r="M149" s="7">
        <f t="shared" si="2"/>
        <v>0.31098626047781841</v>
      </c>
    </row>
    <row r="150" spans="1:13" x14ac:dyDescent="0.35">
      <c r="A150" t="s">
        <v>194</v>
      </c>
      <c r="B150" s="2">
        <v>45678</v>
      </c>
      <c r="C150" t="s">
        <v>19</v>
      </c>
      <c r="D150" t="s">
        <v>39</v>
      </c>
      <c r="E150" t="s">
        <v>21</v>
      </c>
      <c r="F150" t="s">
        <v>63</v>
      </c>
      <c r="G150">
        <v>4</v>
      </c>
      <c r="H150" s="3">
        <v>6090.15</v>
      </c>
      <c r="I150" s="3">
        <v>24360.6</v>
      </c>
      <c r="J150" s="3">
        <v>20562.97</v>
      </c>
      <c r="K150" s="3">
        <v>3797.63</v>
      </c>
      <c r="L150" t="s">
        <v>23</v>
      </c>
      <c r="M150" s="7">
        <f t="shared" si="2"/>
        <v>0.15589230150324707</v>
      </c>
    </row>
    <row r="151" spans="1:13" x14ac:dyDescent="0.35">
      <c r="A151" t="s">
        <v>195</v>
      </c>
      <c r="B151" s="2">
        <v>45747</v>
      </c>
      <c r="C151" t="s">
        <v>29</v>
      </c>
      <c r="D151" t="s">
        <v>33</v>
      </c>
      <c r="E151" t="s">
        <v>46</v>
      </c>
      <c r="F151" t="s">
        <v>51</v>
      </c>
      <c r="G151">
        <v>11</v>
      </c>
      <c r="H151" s="3">
        <v>3417.24</v>
      </c>
      <c r="I151" s="3">
        <v>37589.64</v>
      </c>
      <c r="J151" s="3">
        <v>23602.02</v>
      </c>
      <c r="K151" s="3">
        <v>13987.62</v>
      </c>
      <c r="L151" t="s">
        <v>52</v>
      </c>
      <c r="M151" s="7">
        <f t="shared" si="2"/>
        <v>0.37211369941292338</v>
      </c>
    </row>
    <row r="152" spans="1:13" x14ac:dyDescent="0.35">
      <c r="A152" t="s">
        <v>196</v>
      </c>
      <c r="B152" s="2">
        <v>45870</v>
      </c>
      <c r="C152" t="s">
        <v>19</v>
      </c>
      <c r="D152" t="s">
        <v>39</v>
      </c>
      <c r="E152" t="s">
        <v>15</v>
      </c>
      <c r="F152" t="s">
        <v>37</v>
      </c>
      <c r="G152">
        <v>10</v>
      </c>
      <c r="H152" s="3">
        <v>331.99</v>
      </c>
      <c r="I152" s="3">
        <v>3319.9</v>
      </c>
      <c r="J152" s="3">
        <v>2187.3200000000002</v>
      </c>
      <c r="K152" s="3">
        <v>1132.58</v>
      </c>
      <c r="L152" t="s">
        <v>17</v>
      </c>
      <c r="M152" s="7">
        <f t="shared" si="2"/>
        <v>0.34114882978402961</v>
      </c>
    </row>
    <row r="153" spans="1:13" x14ac:dyDescent="0.35">
      <c r="A153" t="s">
        <v>197</v>
      </c>
      <c r="B153" s="2">
        <v>45901</v>
      </c>
      <c r="C153" t="s">
        <v>13</v>
      </c>
      <c r="D153" t="s">
        <v>68</v>
      </c>
      <c r="E153" t="s">
        <v>46</v>
      </c>
      <c r="F153" t="s">
        <v>47</v>
      </c>
      <c r="G153">
        <v>17</v>
      </c>
      <c r="H153" s="3">
        <v>633.53</v>
      </c>
      <c r="I153" s="3">
        <v>10770.01</v>
      </c>
      <c r="J153" s="3">
        <v>8596.32</v>
      </c>
      <c r="K153" s="3">
        <v>2173.69</v>
      </c>
      <c r="L153" t="s">
        <v>23</v>
      </c>
      <c r="M153" s="7">
        <f t="shared" si="2"/>
        <v>0.201828039156881</v>
      </c>
    </row>
    <row r="154" spans="1:13" x14ac:dyDescent="0.35">
      <c r="A154" t="s">
        <v>198</v>
      </c>
      <c r="B154" s="2">
        <v>45698</v>
      </c>
      <c r="C154" t="s">
        <v>13</v>
      </c>
      <c r="D154" t="s">
        <v>25</v>
      </c>
      <c r="E154" t="s">
        <v>21</v>
      </c>
      <c r="F154" t="s">
        <v>22</v>
      </c>
      <c r="G154">
        <v>8</v>
      </c>
      <c r="H154" s="3">
        <v>10144.16</v>
      </c>
      <c r="I154" s="3">
        <v>81153.279999999999</v>
      </c>
      <c r="J154" s="3">
        <v>62450.83</v>
      </c>
      <c r="K154" s="3">
        <v>18702.45</v>
      </c>
      <c r="L154" t="s">
        <v>23</v>
      </c>
      <c r="M154" s="7">
        <f t="shared" si="2"/>
        <v>0.23045833760508511</v>
      </c>
    </row>
    <row r="155" spans="1:13" x14ac:dyDescent="0.35">
      <c r="A155" t="s">
        <v>199</v>
      </c>
      <c r="B155" s="2">
        <v>45995</v>
      </c>
      <c r="C155" t="s">
        <v>19</v>
      </c>
      <c r="D155" t="s">
        <v>20</v>
      </c>
      <c r="E155" t="s">
        <v>46</v>
      </c>
      <c r="F155" t="s">
        <v>47</v>
      </c>
      <c r="G155">
        <v>14</v>
      </c>
      <c r="H155" s="3">
        <v>648.9</v>
      </c>
      <c r="I155" s="3">
        <v>9084.6</v>
      </c>
      <c r="J155" s="3">
        <v>5977.35</v>
      </c>
      <c r="K155" s="3">
        <v>3107.25</v>
      </c>
      <c r="L155" t="s">
        <v>23</v>
      </c>
      <c r="M155" s="7">
        <f t="shared" si="2"/>
        <v>0.34203487220130768</v>
      </c>
    </row>
    <row r="156" spans="1:13" x14ac:dyDescent="0.35">
      <c r="A156" t="s">
        <v>200</v>
      </c>
      <c r="B156" s="2">
        <v>46008</v>
      </c>
      <c r="C156" t="s">
        <v>13</v>
      </c>
      <c r="D156" t="s">
        <v>33</v>
      </c>
      <c r="E156" t="s">
        <v>21</v>
      </c>
      <c r="F156" t="s">
        <v>101</v>
      </c>
      <c r="G156">
        <v>4</v>
      </c>
      <c r="H156" s="3">
        <v>8570.5300000000007</v>
      </c>
      <c r="I156" s="3">
        <v>34282.120000000003</v>
      </c>
      <c r="J156" s="3">
        <v>27852.93</v>
      </c>
      <c r="K156" s="3">
        <v>6429.19</v>
      </c>
      <c r="L156" t="s">
        <v>17</v>
      </c>
      <c r="M156" s="7">
        <f t="shared" si="2"/>
        <v>0.18753770186907925</v>
      </c>
    </row>
    <row r="157" spans="1:13" x14ac:dyDescent="0.35">
      <c r="A157" t="s">
        <v>201</v>
      </c>
      <c r="B157" s="2">
        <v>45985</v>
      </c>
      <c r="C157" t="s">
        <v>13</v>
      </c>
      <c r="D157" t="s">
        <v>44</v>
      </c>
      <c r="E157" t="s">
        <v>26</v>
      </c>
      <c r="F157" t="s">
        <v>27</v>
      </c>
      <c r="G157">
        <v>5</v>
      </c>
      <c r="H157" s="3">
        <v>12019.32</v>
      </c>
      <c r="I157" s="3">
        <v>60096.6</v>
      </c>
      <c r="J157" s="3">
        <v>49814.09</v>
      </c>
      <c r="K157" s="3">
        <v>10282.51</v>
      </c>
      <c r="L157" t="s">
        <v>52</v>
      </c>
      <c r="M157" s="7">
        <f t="shared" si="2"/>
        <v>0.17109969615585574</v>
      </c>
    </row>
    <row r="158" spans="1:13" x14ac:dyDescent="0.35">
      <c r="A158" t="s">
        <v>202</v>
      </c>
      <c r="B158" s="2">
        <v>45798</v>
      </c>
      <c r="C158" t="s">
        <v>13</v>
      </c>
      <c r="D158" t="s">
        <v>25</v>
      </c>
      <c r="E158" t="s">
        <v>26</v>
      </c>
      <c r="F158" t="s">
        <v>49</v>
      </c>
      <c r="G158">
        <v>8</v>
      </c>
      <c r="H158" s="3">
        <v>1502.76</v>
      </c>
      <c r="I158" s="3">
        <v>12022.08</v>
      </c>
      <c r="J158" s="3">
        <v>8351.2000000000007</v>
      </c>
      <c r="K158" s="3">
        <v>3670.88</v>
      </c>
      <c r="L158" t="s">
        <v>17</v>
      </c>
      <c r="M158" s="7">
        <f t="shared" si="2"/>
        <v>0.30534483217546382</v>
      </c>
    </row>
    <row r="159" spans="1:13" x14ac:dyDescent="0.35">
      <c r="A159" t="s">
        <v>203</v>
      </c>
      <c r="B159" s="2">
        <v>45930</v>
      </c>
      <c r="C159" t="s">
        <v>42</v>
      </c>
      <c r="D159" t="s">
        <v>36</v>
      </c>
      <c r="E159" t="s">
        <v>46</v>
      </c>
      <c r="F159" t="s">
        <v>47</v>
      </c>
      <c r="G159">
        <v>14</v>
      </c>
      <c r="H159" s="3">
        <v>628.44000000000005</v>
      </c>
      <c r="I159" s="3">
        <v>8798.16</v>
      </c>
      <c r="J159" s="3">
        <v>5856.73</v>
      </c>
      <c r="K159" s="3">
        <v>2941.43</v>
      </c>
      <c r="L159" t="s">
        <v>17</v>
      </c>
      <c r="M159" s="7">
        <f t="shared" si="2"/>
        <v>0.33432331305636631</v>
      </c>
    </row>
    <row r="160" spans="1:13" x14ac:dyDescent="0.35">
      <c r="A160" t="s">
        <v>204</v>
      </c>
      <c r="B160" s="2">
        <v>45762</v>
      </c>
      <c r="C160" t="s">
        <v>42</v>
      </c>
      <c r="D160" t="s">
        <v>54</v>
      </c>
      <c r="E160" t="s">
        <v>26</v>
      </c>
      <c r="F160" t="s">
        <v>27</v>
      </c>
      <c r="G160">
        <v>13</v>
      </c>
      <c r="H160" s="3">
        <v>12680.01</v>
      </c>
      <c r="I160" s="3">
        <v>164840.13</v>
      </c>
      <c r="J160" s="3">
        <v>127526.87</v>
      </c>
      <c r="K160" s="3">
        <v>37313.26</v>
      </c>
      <c r="L160" t="s">
        <v>23</v>
      </c>
      <c r="M160" s="7">
        <f t="shared" si="2"/>
        <v>0.22636029224194376</v>
      </c>
    </row>
    <row r="161" spans="1:13" x14ac:dyDescent="0.35">
      <c r="A161" t="s">
        <v>205</v>
      </c>
      <c r="B161" s="2">
        <v>45797</v>
      </c>
      <c r="C161" t="s">
        <v>19</v>
      </c>
      <c r="D161" t="s">
        <v>44</v>
      </c>
      <c r="E161" t="s">
        <v>21</v>
      </c>
      <c r="F161" t="s">
        <v>63</v>
      </c>
      <c r="G161">
        <v>12</v>
      </c>
      <c r="H161" s="3">
        <v>6644.42</v>
      </c>
      <c r="I161" s="3">
        <v>79733.039999999994</v>
      </c>
      <c r="J161" s="3">
        <v>59191.17</v>
      </c>
      <c r="K161" s="3">
        <v>20541.87</v>
      </c>
      <c r="L161" t="s">
        <v>23</v>
      </c>
      <c r="M161" s="7">
        <f t="shared" si="2"/>
        <v>0.25763309664349937</v>
      </c>
    </row>
    <row r="162" spans="1:13" x14ac:dyDescent="0.35">
      <c r="A162" t="s">
        <v>206</v>
      </c>
      <c r="B162" s="2">
        <v>45956</v>
      </c>
      <c r="C162" t="s">
        <v>13</v>
      </c>
      <c r="D162" t="s">
        <v>44</v>
      </c>
      <c r="E162" t="s">
        <v>21</v>
      </c>
      <c r="F162" t="s">
        <v>63</v>
      </c>
      <c r="G162">
        <v>15</v>
      </c>
      <c r="H162" s="3">
        <v>6337.66</v>
      </c>
      <c r="I162" s="3">
        <v>95064.9</v>
      </c>
      <c r="J162" s="3">
        <v>78914.289999999994</v>
      </c>
      <c r="K162" s="3">
        <v>16150.61</v>
      </c>
      <c r="L162" t="s">
        <v>52</v>
      </c>
      <c r="M162" s="7">
        <f t="shared" si="2"/>
        <v>0.16989035911256417</v>
      </c>
    </row>
    <row r="163" spans="1:13" x14ac:dyDescent="0.35">
      <c r="A163" t="s">
        <v>207</v>
      </c>
      <c r="B163" s="2">
        <v>45881</v>
      </c>
      <c r="C163" t="s">
        <v>42</v>
      </c>
      <c r="D163" t="s">
        <v>14</v>
      </c>
      <c r="E163" t="s">
        <v>26</v>
      </c>
      <c r="F163" t="s">
        <v>65</v>
      </c>
      <c r="G163">
        <v>3</v>
      </c>
      <c r="H163" s="3">
        <v>719.88</v>
      </c>
      <c r="I163" s="3">
        <v>2159.64</v>
      </c>
      <c r="J163" s="3">
        <v>1427.26</v>
      </c>
      <c r="K163" s="3">
        <v>732.38</v>
      </c>
      <c r="L163" t="s">
        <v>23</v>
      </c>
      <c r="M163" s="7">
        <f t="shared" si="2"/>
        <v>0.33912133503732106</v>
      </c>
    </row>
    <row r="164" spans="1:13" x14ac:dyDescent="0.35">
      <c r="A164" t="s">
        <v>208</v>
      </c>
      <c r="B164" s="2">
        <v>45927</v>
      </c>
      <c r="C164" t="s">
        <v>29</v>
      </c>
      <c r="D164" t="s">
        <v>39</v>
      </c>
      <c r="E164" t="s">
        <v>21</v>
      </c>
      <c r="F164" t="s">
        <v>22</v>
      </c>
      <c r="G164">
        <v>9</v>
      </c>
      <c r="H164" s="3">
        <v>12251.29</v>
      </c>
      <c r="I164" s="3">
        <v>110261.61</v>
      </c>
      <c r="J164" s="3">
        <v>88071.44</v>
      </c>
      <c r="K164" s="3">
        <v>22190.17</v>
      </c>
      <c r="L164" t="s">
        <v>23</v>
      </c>
      <c r="M164" s="7">
        <f t="shared" si="2"/>
        <v>0.2012501903427675</v>
      </c>
    </row>
    <row r="165" spans="1:13" x14ac:dyDescent="0.35">
      <c r="A165" t="s">
        <v>209</v>
      </c>
      <c r="B165" s="2">
        <v>45995</v>
      </c>
      <c r="C165" t="s">
        <v>29</v>
      </c>
      <c r="D165" t="s">
        <v>33</v>
      </c>
      <c r="E165" t="s">
        <v>26</v>
      </c>
      <c r="F165" t="s">
        <v>27</v>
      </c>
      <c r="G165">
        <v>5</v>
      </c>
      <c r="H165" s="3">
        <v>13133.78</v>
      </c>
      <c r="I165" s="3">
        <v>65668.899999999994</v>
      </c>
      <c r="J165" s="3">
        <v>53395.56</v>
      </c>
      <c r="K165" s="3">
        <v>12273.34</v>
      </c>
      <c r="L165" t="s">
        <v>52</v>
      </c>
      <c r="M165" s="7">
        <f t="shared" si="2"/>
        <v>0.18689729841675437</v>
      </c>
    </row>
    <row r="166" spans="1:13" x14ac:dyDescent="0.35">
      <c r="A166" t="s">
        <v>210</v>
      </c>
      <c r="B166" s="2">
        <v>45975</v>
      </c>
      <c r="C166" t="s">
        <v>29</v>
      </c>
      <c r="D166" t="s">
        <v>39</v>
      </c>
      <c r="E166" t="s">
        <v>26</v>
      </c>
      <c r="F166" t="s">
        <v>65</v>
      </c>
      <c r="G166">
        <v>1</v>
      </c>
      <c r="H166" s="3">
        <v>684.36</v>
      </c>
      <c r="I166" s="3">
        <v>684.36</v>
      </c>
      <c r="J166" s="3">
        <v>485.73</v>
      </c>
      <c r="K166" s="3">
        <v>198.63</v>
      </c>
      <c r="L166" t="s">
        <v>17</v>
      </c>
      <c r="M166" s="7">
        <f t="shared" si="2"/>
        <v>0.29024197790636508</v>
      </c>
    </row>
    <row r="167" spans="1:13" x14ac:dyDescent="0.35">
      <c r="A167" t="s">
        <v>211</v>
      </c>
      <c r="B167" s="2">
        <v>46001</v>
      </c>
      <c r="C167" t="s">
        <v>42</v>
      </c>
      <c r="D167" t="s">
        <v>33</v>
      </c>
      <c r="E167" t="s">
        <v>15</v>
      </c>
      <c r="F167" t="s">
        <v>37</v>
      </c>
      <c r="G167">
        <v>20</v>
      </c>
      <c r="H167" s="3">
        <v>345.56</v>
      </c>
      <c r="I167" s="3">
        <v>6911.2</v>
      </c>
      <c r="J167" s="3">
        <v>4578.41</v>
      </c>
      <c r="K167" s="3">
        <v>2332.79</v>
      </c>
      <c r="L167" t="s">
        <v>17</v>
      </c>
      <c r="M167" s="7">
        <f t="shared" si="2"/>
        <v>0.33753762009491839</v>
      </c>
    </row>
    <row r="168" spans="1:13" x14ac:dyDescent="0.35">
      <c r="A168" t="s">
        <v>212</v>
      </c>
      <c r="B168" s="2">
        <v>45736</v>
      </c>
      <c r="C168" t="s">
        <v>19</v>
      </c>
      <c r="D168" t="s">
        <v>14</v>
      </c>
      <c r="E168" t="s">
        <v>46</v>
      </c>
      <c r="F168" t="s">
        <v>47</v>
      </c>
      <c r="G168">
        <v>6</v>
      </c>
      <c r="H168" s="3">
        <v>604.16</v>
      </c>
      <c r="I168" s="3">
        <v>3624.96</v>
      </c>
      <c r="J168" s="3">
        <v>2879.88</v>
      </c>
      <c r="K168" s="3">
        <v>745.08</v>
      </c>
      <c r="L168" t="s">
        <v>23</v>
      </c>
      <c r="M168" s="7">
        <f t="shared" si="2"/>
        <v>0.20554157838983053</v>
      </c>
    </row>
    <row r="169" spans="1:13" x14ac:dyDescent="0.35">
      <c r="A169" t="s">
        <v>213</v>
      </c>
      <c r="B169" s="2">
        <v>45700</v>
      </c>
      <c r="C169" t="s">
        <v>19</v>
      </c>
      <c r="D169" t="s">
        <v>25</v>
      </c>
      <c r="E169" t="s">
        <v>26</v>
      </c>
      <c r="F169" t="s">
        <v>49</v>
      </c>
      <c r="G169">
        <v>17</v>
      </c>
      <c r="H169" s="3">
        <v>1560.22</v>
      </c>
      <c r="I169" s="3">
        <v>26523.74</v>
      </c>
      <c r="J169" s="3">
        <v>17614.62</v>
      </c>
      <c r="K169" s="3">
        <v>8909.1200000000008</v>
      </c>
      <c r="L169" t="s">
        <v>23</v>
      </c>
      <c r="M169" s="7">
        <f t="shared" si="2"/>
        <v>0.33589229874821575</v>
      </c>
    </row>
    <row r="170" spans="1:13" x14ac:dyDescent="0.35">
      <c r="A170" t="s">
        <v>214</v>
      </c>
      <c r="B170" s="2">
        <v>45915</v>
      </c>
      <c r="C170" t="s">
        <v>19</v>
      </c>
      <c r="D170" t="s">
        <v>33</v>
      </c>
      <c r="E170" t="s">
        <v>15</v>
      </c>
      <c r="F170" t="s">
        <v>37</v>
      </c>
      <c r="G170">
        <v>6</v>
      </c>
      <c r="H170" s="3">
        <v>342.61</v>
      </c>
      <c r="I170" s="3">
        <v>2055.66</v>
      </c>
      <c r="J170" s="3">
        <v>1420.73</v>
      </c>
      <c r="K170" s="3">
        <v>634.92999999999995</v>
      </c>
      <c r="L170" t="s">
        <v>52</v>
      </c>
      <c r="M170" s="7">
        <f t="shared" si="2"/>
        <v>0.30886917097185335</v>
      </c>
    </row>
    <row r="171" spans="1:13" x14ac:dyDescent="0.35">
      <c r="A171" t="s">
        <v>215</v>
      </c>
      <c r="B171" s="2">
        <v>45842</v>
      </c>
      <c r="C171" t="s">
        <v>42</v>
      </c>
      <c r="D171" t="s">
        <v>68</v>
      </c>
      <c r="E171" t="s">
        <v>15</v>
      </c>
      <c r="F171" t="s">
        <v>34</v>
      </c>
      <c r="G171">
        <v>5</v>
      </c>
      <c r="H171" s="3">
        <v>117.79</v>
      </c>
      <c r="I171" s="3">
        <v>588.95000000000005</v>
      </c>
      <c r="J171" s="3">
        <v>497.77</v>
      </c>
      <c r="K171" s="3">
        <v>91.18</v>
      </c>
      <c r="L171" t="s">
        <v>23</v>
      </c>
      <c r="M171" s="7">
        <f t="shared" si="2"/>
        <v>0.15481789625604889</v>
      </c>
    </row>
    <row r="172" spans="1:13" x14ac:dyDescent="0.35">
      <c r="A172" t="s">
        <v>216</v>
      </c>
      <c r="B172" s="2">
        <v>45839</v>
      </c>
      <c r="C172" t="s">
        <v>29</v>
      </c>
      <c r="D172" t="s">
        <v>44</v>
      </c>
      <c r="E172" t="s">
        <v>21</v>
      </c>
      <c r="F172" t="s">
        <v>22</v>
      </c>
      <c r="G172">
        <v>1</v>
      </c>
      <c r="H172" s="3">
        <v>11782.7</v>
      </c>
      <c r="I172" s="3">
        <v>11782.7</v>
      </c>
      <c r="J172" s="3">
        <v>9397.86</v>
      </c>
      <c r="K172" s="3">
        <v>2384.84</v>
      </c>
      <c r="L172" t="s">
        <v>17</v>
      </c>
      <c r="M172" s="7">
        <f t="shared" si="2"/>
        <v>0.20240182640651125</v>
      </c>
    </row>
    <row r="173" spans="1:13" x14ac:dyDescent="0.35">
      <c r="A173" t="s">
        <v>217</v>
      </c>
      <c r="B173" s="2">
        <v>45822</v>
      </c>
      <c r="C173" t="s">
        <v>29</v>
      </c>
      <c r="D173" t="s">
        <v>44</v>
      </c>
      <c r="E173" t="s">
        <v>15</v>
      </c>
      <c r="F173" t="s">
        <v>34</v>
      </c>
      <c r="G173">
        <v>11</v>
      </c>
      <c r="H173" s="3">
        <v>113.77</v>
      </c>
      <c r="I173" s="3">
        <v>1251.47</v>
      </c>
      <c r="J173" s="3">
        <v>1030.94</v>
      </c>
      <c r="K173" s="3">
        <v>220.53</v>
      </c>
      <c r="L173" t="s">
        <v>23</v>
      </c>
      <c r="M173" s="7">
        <f t="shared" si="2"/>
        <v>0.17621676907956244</v>
      </c>
    </row>
    <row r="174" spans="1:13" x14ac:dyDescent="0.35">
      <c r="A174" t="s">
        <v>218</v>
      </c>
      <c r="B174" s="2">
        <v>45676</v>
      </c>
      <c r="C174" t="s">
        <v>42</v>
      </c>
      <c r="D174" t="s">
        <v>44</v>
      </c>
      <c r="E174" t="s">
        <v>15</v>
      </c>
      <c r="F174" t="s">
        <v>37</v>
      </c>
      <c r="G174">
        <v>16</v>
      </c>
      <c r="H174" s="3">
        <v>344.28</v>
      </c>
      <c r="I174" s="3">
        <v>5508.48</v>
      </c>
      <c r="J174" s="3">
        <v>4233.32</v>
      </c>
      <c r="K174" s="3">
        <v>1275.1600000000001</v>
      </c>
      <c r="L174" t="s">
        <v>17</v>
      </c>
      <c r="M174" s="7">
        <f t="shared" si="2"/>
        <v>0.23149035668641807</v>
      </c>
    </row>
    <row r="175" spans="1:13" x14ac:dyDescent="0.35">
      <c r="A175" t="s">
        <v>219</v>
      </c>
      <c r="B175" s="2">
        <v>45923</v>
      </c>
      <c r="C175" t="s">
        <v>42</v>
      </c>
      <c r="D175" t="s">
        <v>36</v>
      </c>
      <c r="E175" t="s">
        <v>21</v>
      </c>
      <c r="F175" t="s">
        <v>63</v>
      </c>
      <c r="G175">
        <v>20</v>
      </c>
      <c r="H175" s="3">
        <v>5857.34</v>
      </c>
      <c r="I175" s="3">
        <v>117146.8</v>
      </c>
      <c r="J175" s="3">
        <v>79623.649999999994</v>
      </c>
      <c r="K175" s="3">
        <v>37523.15</v>
      </c>
      <c r="L175" t="s">
        <v>23</v>
      </c>
      <c r="M175" s="7">
        <f t="shared" si="2"/>
        <v>0.32030879204553603</v>
      </c>
    </row>
    <row r="176" spans="1:13" x14ac:dyDescent="0.35">
      <c r="A176" t="s">
        <v>220</v>
      </c>
      <c r="B176" s="2">
        <v>45713</v>
      </c>
      <c r="C176" t="s">
        <v>19</v>
      </c>
      <c r="D176" t="s">
        <v>30</v>
      </c>
      <c r="E176" t="s">
        <v>26</v>
      </c>
      <c r="F176" t="s">
        <v>27</v>
      </c>
      <c r="G176">
        <v>14</v>
      </c>
      <c r="H176" s="3">
        <v>11341.38</v>
      </c>
      <c r="I176" s="3">
        <v>158779.32</v>
      </c>
      <c r="J176" s="3">
        <v>100565.35</v>
      </c>
      <c r="K176" s="3">
        <v>58213.97</v>
      </c>
      <c r="L176" t="s">
        <v>17</v>
      </c>
      <c r="M176" s="7">
        <f t="shared" si="2"/>
        <v>0.36663445844206916</v>
      </c>
    </row>
    <row r="177" spans="1:13" x14ac:dyDescent="0.35">
      <c r="A177" t="s">
        <v>221</v>
      </c>
      <c r="B177" s="2">
        <v>46022</v>
      </c>
      <c r="C177" t="s">
        <v>29</v>
      </c>
      <c r="D177" t="s">
        <v>30</v>
      </c>
      <c r="E177" t="s">
        <v>15</v>
      </c>
      <c r="F177" t="s">
        <v>34</v>
      </c>
      <c r="G177">
        <v>9</v>
      </c>
      <c r="H177" s="3">
        <v>127.99</v>
      </c>
      <c r="I177" s="3">
        <v>1151.9100000000001</v>
      </c>
      <c r="J177" s="3">
        <v>951.54</v>
      </c>
      <c r="K177" s="3">
        <v>200.37</v>
      </c>
      <c r="L177" t="s">
        <v>52</v>
      </c>
      <c r="M177" s="7">
        <f t="shared" si="2"/>
        <v>0.17394588118863452</v>
      </c>
    </row>
    <row r="178" spans="1:13" x14ac:dyDescent="0.35">
      <c r="A178" t="s">
        <v>222</v>
      </c>
      <c r="B178" s="2">
        <v>45819</v>
      </c>
      <c r="C178" t="s">
        <v>29</v>
      </c>
      <c r="D178" t="s">
        <v>44</v>
      </c>
      <c r="E178" t="s">
        <v>46</v>
      </c>
      <c r="F178" t="s">
        <v>47</v>
      </c>
      <c r="G178">
        <v>1</v>
      </c>
      <c r="H178" s="3">
        <v>540.04</v>
      </c>
      <c r="I178" s="3">
        <v>540.04</v>
      </c>
      <c r="J178" s="3">
        <v>379.6</v>
      </c>
      <c r="K178" s="3">
        <v>160.44</v>
      </c>
      <c r="L178" t="s">
        <v>23</v>
      </c>
      <c r="M178" s="7">
        <f t="shared" si="2"/>
        <v>0.29708910451077697</v>
      </c>
    </row>
    <row r="179" spans="1:13" x14ac:dyDescent="0.35">
      <c r="A179" t="s">
        <v>223</v>
      </c>
      <c r="B179" s="2">
        <v>45936</v>
      </c>
      <c r="C179" t="s">
        <v>13</v>
      </c>
      <c r="D179" t="s">
        <v>33</v>
      </c>
      <c r="E179" t="s">
        <v>26</v>
      </c>
      <c r="F179" t="s">
        <v>31</v>
      </c>
      <c r="G179">
        <v>18</v>
      </c>
      <c r="H179" s="3">
        <v>43370.28</v>
      </c>
      <c r="I179" s="3">
        <v>780665.04</v>
      </c>
      <c r="J179" s="3">
        <v>613785.99</v>
      </c>
      <c r="K179" s="3">
        <v>166879.04999999999</v>
      </c>
      <c r="L179" t="s">
        <v>17</v>
      </c>
      <c r="M179" s="7">
        <f t="shared" si="2"/>
        <v>0.21376524046728157</v>
      </c>
    </row>
    <row r="180" spans="1:13" x14ac:dyDescent="0.35">
      <c r="A180" t="s">
        <v>224</v>
      </c>
      <c r="B180" s="2">
        <v>45965</v>
      </c>
      <c r="C180" t="s">
        <v>19</v>
      </c>
      <c r="D180" t="s">
        <v>36</v>
      </c>
      <c r="E180" t="s">
        <v>46</v>
      </c>
      <c r="F180" t="s">
        <v>47</v>
      </c>
      <c r="G180">
        <v>7</v>
      </c>
      <c r="H180" s="3">
        <v>640.20000000000005</v>
      </c>
      <c r="I180" s="3">
        <v>4481.3999999999996</v>
      </c>
      <c r="J180" s="3">
        <v>3433.98</v>
      </c>
      <c r="K180" s="3">
        <v>1047.42</v>
      </c>
      <c r="L180" t="s">
        <v>52</v>
      </c>
      <c r="M180" s="7">
        <f t="shared" si="2"/>
        <v>0.23372606774668633</v>
      </c>
    </row>
    <row r="181" spans="1:13" x14ac:dyDescent="0.35">
      <c r="A181" t="s">
        <v>225</v>
      </c>
      <c r="B181" s="2">
        <v>45933</v>
      </c>
      <c r="C181" t="s">
        <v>19</v>
      </c>
      <c r="D181" t="s">
        <v>68</v>
      </c>
      <c r="E181" t="s">
        <v>15</v>
      </c>
      <c r="F181" t="s">
        <v>16</v>
      </c>
      <c r="G181">
        <v>9</v>
      </c>
      <c r="H181" s="3">
        <v>251.65</v>
      </c>
      <c r="I181" s="3">
        <v>2264.85</v>
      </c>
      <c r="J181" s="3">
        <v>1945.85</v>
      </c>
      <c r="K181" s="3">
        <v>319</v>
      </c>
      <c r="L181" t="s">
        <v>17</v>
      </c>
      <c r="M181" s="7">
        <f t="shared" si="2"/>
        <v>0.14084817979115616</v>
      </c>
    </row>
    <row r="182" spans="1:13" x14ac:dyDescent="0.35">
      <c r="A182" t="s">
        <v>226</v>
      </c>
      <c r="B182" s="2">
        <v>45922</v>
      </c>
      <c r="C182" t="s">
        <v>13</v>
      </c>
      <c r="D182" t="s">
        <v>25</v>
      </c>
      <c r="E182" t="s">
        <v>15</v>
      </c>
      <c r="F182" t="s">
        <v>34</v>
      </c>
      <c r="G182">
        <v>18</v>
      </c>
      <c r="H182" s="3">
        <v>124.45</v>
      </c>
      <c r="I182" s="3">
        <v>2240.1</v>
      </c>
      <c r="J182" s="3">
        <v>1685.44</v>
      </c>
      <c r="K182" s="3">
        <v>554.66</v>
      </c>
      <c r="L182" t="s">
        <v>23</v>
      </c>
      <c r="M182" s="7">
        <f t="shared" si="2"/>
        <v>0.24760501763314138</v>
      </c>
    </row>
    <row r="183" spans="1:13" x14ac:dyDescent="0.35">
      <c r="A183" t="s">
        <v>227</v>
      </c>
      <c r="B183" s="2">
        <v>45909</v>
      </c>
      <c r="C183" t="s">
        <v>29</v>
      </c>
      <c r="D183" t="s">
        <v>39</v>
      </c>
      <c r="E183" t="s">
        <v>26</v>
      </c>
      <c r="F183" t="s">
        <v>27</v>
      </c>
      <c r="G183">
        <v>16</v>
      </c>
      <c r="H183" s="3">
        <v>11043.25</v>
      </c>
      <c r="I183" s="3">
        <v>176692</v>
      </c>
      <c r="J183" s="3">
        <v>123927.42</v>
      </c>
      <c r="K183" s="3">
        <v>52764.58</v>
      </c>
      <c r="L183" t="s">
        <v>17</v>
      </c>
      <c r="M183" s="7">
        <f t="shared" si="2"/>
        <v>0.29862461231974285</v>
      </c>
    </row>
    <row r="184" spans="1:13" x14ac:dyDescent="0.35">
      <c r="A184" t="s">
        <v>228</v>
      </c>
      <c r="B184" s="2">
        <v>45876</v>
      </c>
      <c r="C184" t="s">
        <v>19</v>
      </c>
      <c r="D184" t="s">
        <v>44</v>
      </c>
      <c r="E184" t="s">
        <v>26</v>
      </c>
      <c r="F184" t="s">
        <v>27</v>
      </c>
      <c r="G184">
        <v>9</v>
      </c>
      <c r="H184" s="3">
        <v>10906.01</v>
      </c>
      <c r="I184" s="3">
        <v>98154.09</v>
      </c>
      <c r="J184" s="3">
        <v>62792.98</v>
      </c>
      <c r="K184" s="3">
        <v>35361.11</v>
      </c>
      <c r="L184" t="s">
        <v>17</v>
      </c>
      <c r="M184" s="7">
        <f t="shared" si="2"/>
        <v>0.36026119747022262</v>
      </c>
    </row>
    <row r="185" spans="1:13" x14ac:dyDescent="0.35">
      <c r="A185" t="s">
        <v>229</v>
      </c>
      <c r="B185" s="2">
        <v>45700</v>
      </c>
      <c r="C185" t="s">
        <v>29</v>
      </c>
      <c r="D185" t="s">
        <v>36</v>
      </c>
      <c r="E185" t="s">
        <v>26</v>
      </c>
      <c r="F185" t="s">
        <v>27</v>
      </c>
      <c r="G185">
        <v>15</v>
      </c>
      <c r="H185" s="3">
        <v>12453.01</v>
      </c>
      <c r="I185" s="3">
        <v>186795.15</v>
      </c>
      <c r="J185" s="3">
        <v>151175.20000000001</v>
      </c>
      <c r="K185" s="3">
        <v>35619.949999999997</v>
      </c>
      <c r="L185" t="s">
        <v>52</v>
      </c>
      <c r="M185" s="7">
        <f t="shared" si="2"/>
        <v>0.19068990816945727</v>
      </c>
    </row>
    <row r="186" spans="1:13" x14ac:dyDescent="0.35">
      <c r="A186" t="s">
        <v>230</v>
      </c>
      <c r="B186" s="2">
        <v>45804</v>
      </c>
      <c r="C186" t="s">
        <v>19</v>
      </c>
      <c r="D186" t="s">
        <v>30</v>
      </c>
      <c r="E186" t="s">
        <v>15</v>
      </c>
      <c r="F186" t="s">
        <v>37</v>
      </c>
      <c r="G186">
        <v>10</v>
      </c>
      <c r="H186" s="3">
        <v>364.2</v>
      </c>
      <c r="I186" s="3">
        <v>3642</v>
      </c>
      <c r="J186" s="3">
        <v>2685.8</v>
      </c>
      <c r="K186" s="3">
        <v>956.2</v>
      </c>
      <c r="L186" t="s">
        <v>17</v>
      </c>
      <c r="M186" s="7">
        <f t="shared" si="2"/>
        <v>0.26254805052169139</v>
      </c>
    </row>
    <row r="187" spans="1:13" x14ac:dyDescent="0.35">
      <c r="A187" t="s">
        <v>231</v>
      </c>
      <c r="B187" s="2">
        <v>45894</v>
      </c>
      <c r="C187" t="s">
        <v>19</v>
      </c>
      <c r="D187" t="s">
        <v>14</v>
      </c>
      <c r="E187" t="s">
        <v>26</v>
      </c>
      <c r="F187" t="s">
        <v>65</v>
      </c>
      <c r="G187">
        <v>7</v>
      </c>
      <c r="H187" s="3">
        <v>733.4</v>
      </c>
      <c r="I187" s="3">
        <v>5133.8</v>
      </c>
      <c r="J187" s="3">
        <v>3287.55</v>
      </c>
      <c r="K187" s="3">
        <v>1846.25</v>
      </c>
      <c r="L187" t="s">
        <v>23</v>
      </c>
      <c r="M187" s="7">
        <f t="shared" si="2"/>
        <v>0.35962639760021814</v>
      </c>
    </row>
    <row r="188" spans="1:13" x14ac:dyDescent="0.35">
      <c r="A188" t="s">
        <v>232</v>
      </c>
      <c r="B188" s="2">
        <v>45876</v>
      </c>
      <c r="C188" t="s">
        <v>29</v>
      </c>
      <c r="D188" t="s">
        <v>39</v>
      </c>
      <c r="E188" t="s">
        <v>15</v>
      </c>
      <c r="F188" t="s">
        <v>34</v>
      </c>
      <c r="G188">
        <v>19</v>
      </c>
      <c r="H188" s="3">
        <v>134.09</v>
      </c>
      <c r="I188" s="3">
        <v>2547.71</v>
      </c>
      <c r="J188" s="3">
        <v>1986.87</v>
      </c>
      <c r="K188" s="3">
        <v>560.84</v>
      </c>
      <c r="L188" t="s">
        <v>17</v>
      </c>
      <c r="M188" s="7">
        <f t="shared" si="2"/>
        <v>0.22013494471505785</v>
      </c>
    </row>
    <row r="189" spans="1:13" x14ac:dyDescent="0.35">
      <c r="A189" t="s">
        <v>233</v>
      </c>
      <c r="B189" s="2">
        <v>45741</v>
      </c>
      <c r="C189" t="s">
        <v>19</v>
      </c>
      <c r="D189" t="s">
        <v>39</v>
      </c>
      <c r="E189" t="s">
        <v>21</v>
      </c>
      <c r="F189" t="s">
        <v>101</v>
      </c>
      <c r="G189">
        <v>6</v>
      </c>
      <c r="H189" s="3">
        <v>7964.15</v>
      </c>
      <c r="I189" s="3">
        <v>47784.9</v>
      </c>
      <c r="J189" s="3">
        <v>41081.9</v>
      </c>
      <c r="K189" s="3">
        <v>6703</v>
      </c>
      <c r="L189" t="s">
        <v>52</v>
      </c>
      <c r="M189" s="7">
        <f t="shared" si="2"/>
        <v>0.14027443815933485</v>
      </c>
    </row>
    <row r="190" spans="1:13" x14ac:dyDescent="0.35">
      <c r="A190" t="s">
        <v>234</v>
      </c>
      <c r="B190" s="2">
        <v>45856</v>
      </c>
      <c r="C190" t="s">
        <v>29</v>
      </c>
      <c r="D190" t="s">
        <v>68</v>
      </c>
      <c r="E190" t="s">
        <v>46</v>
      </c>
      <c r="F190" t="s">
        <v>70</v>
      </c>
      <c r="G190">
        <v>14</v>
      </c>
      <c r="H190" s="3">
        <v>1985.78</v>
      </c>
      <c r="I190" s="3">
        <v>27800.92</v>
      </c>
      <c r="J190" s="3">
        <v>20360.03</v>
      </c>
      <c r="K190" s="3">
        <v>7440.89</v>
      </c>
      <c r="L190" t="s">
        <v>17</v>
      </c>
      <c r="M190" s="7">
        <f t="shared" si="2"/>
        <v>0.26764905621828344</v>
      </c>
    </row>
    <row r="191" spans="1:13" x14ac:dyDescent="0.35">
      <c r="A191" t="s">
        <v>235</v>
      </c>
      <c r="B191" s="2">
        <v>45810</v>
      </c>
      <c r="C191" t="s">
        <v>29</v>
      </c>
      <c r="D191" t="s">
        <v>20</v>
      </c>
      <c r="E191" t="s">
        <v>15</v>
      </c>
      <c r="F191" t="s">
        <v>16</v>
      </c>
      <c r="G191">
        <v>19</v>
      </c>
      <c r="H191" s="3">
        <v>233.74</v>
      </c>
      <c r="I191" s="3">
        <v>4441.0600000000004</v>
      </c>
      <c r="J191" s="3">
        <v>3653.29</v>
      </c>
      <c r="K191" s="3">
        <v>787.77</v>
      </c>
      <c r="L191" t="s">
        <v>52</v>
      </c>
      <c r="M191" s="7">
        <f t="shared" si="2"/>
        <v>0.17738332740381799</v>
      </c>
    </row>
    <row r="192" spans="1:13" x14ac:dyDescent="0.35">
      <c r="A192" t="s">
        <v>236</v>
      </c>
      <c r="B192" s="2">
        <v>45721</v>
      </c>
      <c r="C192" t="s">
        <v>19</v>
      </c>
      <c r="D192" t="s">
        <v>44</v>
      </c>
      <c r="E192" t="s">
        <v>26</v>
      </c>
      <c r="F192" t="s">
        <v>27</v>
      </c>
      <c r="G192">
        <v>20</v>
      </c>
      <c r="H192" s="3">
        <v>12698.21</v>
      </c>
      <c r="I192" s="3">
        <v>253964.2</v>
      </c>
      <c r="J192" s="3">
        <v>218131.05</v>
      </c>
      <c r="K192" s="3">
        <v>35833.15</v>
      </c>
      <c r="L192" t="s">
        <v>52</v>
      </c>
      <c r="M192" s="7">
        <f t="shared" si="2"/>
        <v>0.14109528035841273</v>
      </c>
    </row>
    <row r="193" spans="1:13" x14ac:dyDescent="0.35">
      <c r="A193" t="s">
        <v>237</v>
      </c>
      <c r="B193" s="2">
        <v>45680</v>
      </c>
      <c r="C193" t="s">
        <v>19</v>
      </c>
      <c r="D193" t="s">
        <v>30</v>
      </c>
      <c r="E193" t="s">
        <v>26</v>
      </c>
      <c r="F193" t="s">
        <v>27</v>
      </c>
      <c r="G193">
        <v>4</v>
      </c>
      <c r="H193" s="3">
        <v>12660.2</v>
      </c>
      <c r="I193" s="3">
        <v>50640.800000000003</v>
      </c>
      <c r="J193" s="3">
        <v>40850.86</v>
      </c>
      <c r="K193" s="3">
        <v>9789.94</v>
      </c>
      <c r="L193" t="s">
        <v>52</v>
      </c>
      <c r="M193" s="7">
        <f t="shared" si="2"/>
        <v>0.19332119555773211</v>
      </c>
    </row>
    <row r="194" spans="1:13" x14ac:dyDescent="0.35">
      <c r="A194" t="s">
        <v>238</v>
      </c>
      <c r="B194" s="2">
        <v>45770</v>
      </c>
      <c r="C194" t="s">
        <v>13</v>
      </c>
      <c r="D194" t="s">
        <v>25</v>
      </c>
      <c r="E194" t="s">
        <v>21</v>
      </c>
      <c r="F194" t="s">
        <v>101</v>
      </c>
      <c r="G194">
        <v>7</v>
      </c>
      <c r="H194" s="3">
        <v>8145.38</v>
      </c>
      <c r="I194" s="3">
        <v>57017.66</v>
      </c>
      <c r="J194" s="3">
        <v>43131.38</v>
      </c>
      <c r="K194" s="3">
        <v>13886.28</v>
      </c>
      <c r="L194" t="s">
        <v>23</v>
      </c>
      <c r="M194" s="7">
        <f t="shared" ref="M194:M257" si="3">K194/I194</f>
        <v>0.24354349161294939</v>
      </c>
    </row>
    <row r="195" spans="1:13" x14ac:dyDescent="0.35">
      <c r="A195" t="s">
        <v>239</v>
      </c>
      <c r="B195" s="2">
        <v>45775</v>
      </c>
      <c r="C195" t="s">
        <v>29</v>
      </c>
      <c r="D195" t="s">
        <v>36</v>
      </c>
      <c r="E195" t="s">
        <v>46</v>
      </c>
      <c r="F195" t="s">
        <v>51</v>
      </c>
      <c r="G195">
        <v>4</v>
      </c>
      <c r="H195" s="3">
        <v>3097.62</v>
      </c>
      <c r="I195" s="3">
        <v>12390.48</v>
      </c>
      <c r="J195" s="3">
        <v>9166.93</v>
      </c>
      <c r="K195" s="3">
        <v>3223.55</v>
      </c>
      <c r="L195" t="s">
        <v>52</v>
      </c>
      <c r="M195" s="7">
        <f t="shared" si="3"/>
        <v>0.26016344806658015</v>
      </c>
    </row>
    <row r="196" spans="1:13" x14ac:dyDescent="0.35">
      <c r="A196" t="s">
        <v>240</v>
      </c>
      <c r="B196" s="2">
        <v>45774</v>
      </c>
      <c r="C196" t="s">
        <v>13</v>
      </c>
      <c r="D196" t="s">
        <v>68</v>
      </c>
      <c r="E196" t="s">
        <v>46</v>
      </c>
      <c r="F196" t="s">
        <v>70</v>
      </c>
      <c r="G196">
        <v>15</v>
      </c>
      <c r="H196" s="3">
        <v>2322.6</v>
      </c>
      <c r="I196" s="3">
        <v>34839</v>
      </c>
      <c r="J196" s="3">
        <v>27794.21</v>
      </c>
      <c r="K196" s="3">
        <v>7044.79</v>
      </c>
      <c r="L196" t="s">
        <v>23</v>
      </c>
      <c r="M196" s="7">
        <f t="shared" si="3"/>
        <v>0.20220987973248372</v>
      </c>
    </row>
    <row r="197" spans="1:13" x14ac:dyDescent="0.35">
      <c r="A197" t="s">
        <v>241</v>
      </c>
      <c r="B197" s="2">
        <v>45659</v>
      </c>
      <c r="C197" t="s">
        <v>42</v>
      </c>
      <c r="D197" t="s">
        <v>25</v>
      </c>
      <c r="E197" t="s">
        <v>46</v>
      </c>
      <c r="F197" t="s">
        <v>51</v>
      </c>
      <c r="G197">
        <v>17</v>
      </c>
      <c r="H197" s="3">
        <v>3184.63</v>
      </c>
      <c r="I197" s="3">
        <v>54138.71</v>
      </c>
      <c r="J197" s="3">
        <v>39848.04</v>
      </c>
      <c r="K197" s="3">
        <v>14290.67</v>
      </c>
      <c r="L197" t="s">
        <v>23</v>
      </c>
      <c r="M197" s="7">
        <f t="shared" si="3"/>
        <v>0.26396399175377472</v>
      </c>
    </row>
    <row r="198" spans="1:13" x14ac:dyDescent="0.35">
      <c r="A198" t="s">
        <v>242</v>
      </c>
      <c r="B198" s="2">
        <v>45953</v>
      </c>
      <c r="C198" t="s">
        <v>19</v>
      </c>
      <c r="D198" t="s">
        <v>30</v>
      </c>
      <c r="E198" t="s">
        <v>26</v>
      </c>
      <c r="F198" t="s">
        <v>65</v>
      </c>
      <c r="G198">
        <v>14</v>
      </c>
      <c r="H198" s="3">
        <v>635.41</v>
      </c>
      <c r="I198" s="3">
        <v>8895.74</v>
      </c>
      <c r="J198" s="3">
        <v>7321.51</v>
      </c>
      <c r="K198" s="3">
        <v>1574.23</v>
      </c>
      <c r="L198" t="s">
        <v>52</v>
      </c>
      <c r="M198" s="7">
        <f t="shared" si="3"/>
        <v>0.17696447962732725</v>
      </c>
    </row>
    <row r="199" spans="1:13" x14ac:dyDescent="0.35">
      <c r="A199" t="s">
        <v>243</v>
      </c>
      <c r="B199" s="2">
        <v>45828</v>
      </c>
      <c r="C199" t="s">
        <v>19</v>
      </c>
      <c r="D199" t="s">
        <v>33</v>
      </c>
      <c r="E199" t="s">
        <v>21</v>
      </c>
      <c r="F199" t="s">
        <v>101</v>
      </c>
      <c r="G199">
        <v>20</v>
      </c>
      <c r="H199" s="3">
        <v>7440.17</v>
      </c>
      <c r="I199" s="3">
        <v>148803.4</v>
      </c>
      <c r="J199" s="3">
        <v>114078.73</v>
      </c>
      <c r="K199" s="3">
        <v>34724.67</v>
      </c>
      <c r="L199" t="s">
        <v>17</v>
      </c>
      <c r="M199" s="7">
        <f t="shared" si="3"/>
        <v>0.23335938560543643</v>
      </c>
    </row>
    <row r="200" spans="1:13" x14ac:dyDescent="0.35">
      <c r="A200" t="s">
        <v>244</v>
      </c>
      <c r="B200" s="2">
        <v>45932</v>
      </c>
      <c r="C200" t="s">
        <v>29</v>
      </c>
      <c r="D200" t="s">
        <v>30</v>
      </c>
      <c r="E200" t="s">
        <v>46</v>
      </c>
      <c r="F200" t="s">
        <v>51</v>
      </c>
      <c r="G200">
        <v>14</v>
      </c>
      <c r="H200" s="3">
        <v>3260.29</v>
      </c>
      <c r="I200" s="3">
        <v>45644.06</v>
      </c>
      <c r="J200" s="3">
        <v>34710.31</v>
      </c>
      <c r="K200" s="3">
        <v>10933.75</v>
      </c>
      <c r="L200" t="s">
        <v>17</v>
      </c>
      <c r="M200" s="7">
        <f t="shared" si="3"/>
        <v>0.23954376538809213</v>
      </c>
    </row>
    <row r="201" spans="1:13" x14ac:dyDescent="0.35">
      <c r="A201" t="s">
        <v>245</v>
      </c>
      <c r="B201" s="2">
        <v>45708</v>
      </c>
      <c r="C201" t="s">
        <v>29</v>
      </c>
      <c r="D201" t="s">
        <v>36</v>
      </c>
      <c r="E201" t="s">
        <v>26</v>
      </c>
      <c r="F201" t="s">
        <v>31</v>
      </c>
      <c r="G201">
        <v>17</v>
      </c>
      <c r="H201" s="3">
        <v>47070.71</v>
      </c>
      <c r="I201" s="3">
        <v>800202.07</v>
      </c>
      <c r="J201" s="3">
        <v>544388.03</v>
      </c>
      <c r="K201" s="3">
        <v>255814.04</v>
      </c>
      <c r="L201" t="s">
        <v>17</v>
      </c>
      <c r="M201" s="7">
        <f t="shared" si="3"/>
        <v>0.31968680111012465</v>
      </c>
    </row>
    <row r="202" spans="1:13" x14ac:dyDescent="0.35">
      <c r="A202" t="s">
        <v>246</v>
      </c>
      <c r="B202" s="2">
        <v>45866</v>
      </c>
      <c r="C202" t="s">
        <v>19</v>
      </c>
      <c r="D202" t="s">
        <v>14</v>
      </c>
      <c r="E202" t="s">
        <v>21</v>
      </c>
      <c r="F202" t="s">
        <v>101</v>
      </c>
      <c r="G202">
        <v>1</v>
      </c>
      <c r="H202" s="3">
        <v>8852.18</v>
      </c>
      <c r="I202" s="3">
        <v>8852.18</v>
      </c>
      <c r="J202" s="3">
        <v>6341.41</v>
      </c>
      <c r="K202" s="3">
        <v>2510.77</v>
      </c>
      <c r="L202" t="s">
        <v>23</v>
      </c>
      <c r="M202" s="7">
        <f t="shared" si="3"/>
        <v>0.28363295820916429</v>
      </c>
    </row>
    <row r="203" spans="1:13" x14ac:dyDescent="0.35">
      <c r="A203" t="s">
        <v>247</v>
      </c>
      <c r="B203" s="2">
        <v>45737</v>
      </c>
      <c r="C203" t="s">
        <v>13</v>
      </c>
      <c r="D203" t="s">
        <v>39</v>
      </c>
      <c r="E203" t="s">
        <v>46</v>
      </c>
      <c r="F203" t="s">
        <v>70</v>
      </c>
      <c r="G203">
        <v>6</v>
      </c>
      <c r="H203" s="3">
        <v>2413.81</v>
      </c>
      <c r="I203" s="3">
        <v>14482.86</v>
      </c>
      <c r="J203" s="3">
        <v>9595.07</v>
      </c>
      <c r="K203" s="3">
        <v>4887.79</v>
      </c>
      <c r="L203" t="s">
        <v>52</v>
      </c>
      <c r="M203" s="7">
        <f t="shared" si="3"/>
        <v>0.33748789948946545</v>
      </c>
    </row>
    <row r="204" spans="1:13" x14ac:dyDescent="0.35">
      <c r="A204" t="s">
        <v>248</v>
      </c>
      <c r="B204" s="2">
        <v>45675</v>
      </c>
      <c r="C204" t="s">
        <v>29</v>
      </c>
      <c r="D204" t="s">
        <v>14</v>
      </c>
      <c r="E204" t="s">
        <v>46</v>
      </c>
      <c r="F204" t="s">
        <v>47</v>
      </c>
      <c r="G204">
        <v>10</v>
      </c>
      <c r="H204" s="3">
        <v>637.79</v>
      </c>
      <c r="I204" s="3">
        <v>6377.9</v>
      </c>
      <c r="J204" s="3">
        <v>5398.41</v>
      </c>
      <c r="K204" s="3">
        <v>979.49</v>
      </c>
      <c r="L204" t="s">
        <v>17</v>
      </c>
      <c r="M204" s="7">
        <f t="shared" si="3"/>
        <v>0.15357562834161714</v>
      </c>
    </row>
    <row r="205" spans="1:13" x14ac:dyDescent="0.35">
      <c r="A205" t="s">
        <v>249</v>
      </c>
      <c r="B205" s="2">
        <v>45685</v>
      </c>
      <c r="C205" t="s">
        <v>29</v>
      </c>
      <c r="D205" t="s">
        <v>14</v>
      </c>
      <c r="E205" t="s">
        <v>15</v>
      </c>
      <c r="F205" t="s">
        <v>37</v>
      </c>
      <c r="G205">
        <v>8</v>
      </c>
      <c r="H205" s="3">
        <v>323.13</v>
      </c>
      <c r="I205" s="3">
        <v>2585.04</v>
      </c>
      <c r="J205" s="3">
        <v>2060.4</v>
      </c>
      <c r="K205" s="3">
        <v>524.64</v>
      </c>
      <c r="L205" t="s">
        <v>23</v>
      </c>
      <c r="M205" s="7">
        <f t="shared" si="3"/>
        <v>0.20295237211029615</v>
      </c>
    </row>
    <row r="206" spans="1:13" x14ac:dyDescent="0.35">
      <c r="A206" t="s">
        <v>250</v>
      </c>
      <c r="B206" s="2">
        <v>45803</v>
      </c>
      <c r="C206" t="s">
        <v>13</v>
      </c>
      <c r="D206" t="s">
        <v>30</v>
      </c>
      <c r="E206" t="s">
        <v>15</v>
      </c>
      <c r="F206" t="s">
        <v>34</v>
      </c>
      <c r="G206">
        <v>20</v>
      </c>
      <c r="H206" s="3">
        <v>130.21</v>
      </c>
      <c r="I206" s="3">
        <v>2604.1999999999998</v>
      </c>
      <c r="J206" s="3">
        <v>2160.75</v>
      </c>
      <c r="K206" s="3">
        <v>443.45</v>
      </c>
      <c r="L206" t="s">
        <v>17</v>
      </c>
      <c r="M206" s="7">
        <f t="shared" si="3"/>
        <v>0.17028262038245912</v>
      </c>
    </row>
    <row r="207" spans="1:13" x14ac:dyDescent="0.35">
      <c r="A207" t="s">
        <v>251</v>
      </c>
      <c r="B207" s="2">
        <v>45825</v>
      </c>
      <c r="C207" t="s">
        <v>42</v>
      </c>
      <c r="D207" t="s">
        <v>33</v>
      </c>
      <c r="E207" t="s">
        <v>15</v>
      </c>
      <c r="F207" t="s">
        <v>37</v>
      </c>
      <c r="G207">
        <v>8</v>
      </c>
      <c r="H207" s="3">
        <v>329.22</v>
      </c>
      <c r="I207" s="3">
        <v>2633.76</v>
      </c>
      <c r="J207" s="3">
        <v>2086.81</v>
      </c>
      <c r="K207" s="3">
        <v>546.95000000000005</v>
      </c>
      <c r="L207" t="s">
        <v>52</v>
      </c>
      <c r="M207" s="7">
        <f t="shared" si="3"/>
        <v>0.20766888402891684</v>
      </c>
    </row>
    <row r="208" spans="1:13" x14ac:dyDescent="0.35">
      <c r="A208" t="s">
        <v>252</v>
      </c>
      <c r="B208" s="2">
        <v>45848</v>
      </c>
      <c r="C208" t="s">
        <v>19</v>
      </c>
      <c r="D208" t="s">
        <v>33</v>
      </c>
      <c r="E208" t="s">
        <v>15</v>
      </c>
      <c r="F208" t="s">
        <v>34</v>
      </c>
      <c r="G208">
        <v>9</v>
      </c>
      <c r="H208" s="3">
        <v>130.01</v>
      </c>
      <c r="I208" s="3">
        <v>1170.0899999999999</v>
      </c>
      <c r="J208" s="3">
        <v>995.13</v>
      </c>
      <c r="K208" s="3">
        <v>174.96</v>
      </c>
      <c r="L208" t="s">
        <v>52</v>
      </c>
      <c r="M208" s="7">
        <f t="shared" si="3"/>
        <v>0.14952695946465658</v>
      </c>
    </row>
    <row r="209" spans="1:13" x14ac:dyDescent="0.35">
      <c r="A209" t="s">
        <v>253</v>
      </c>
      <c r="B209" s="2">
        <v>46011</v>
      </c>
      <c r="C209" t="s">
        <v>29</v>
      </c>
      <c r="D209" t="s">
        <v>54</v>
      </c>
      <c r="E209" t="s">
        <v>15</v>
      </c>
      <c r="F209" t="s">
        <v>37</v>
      </c>
      <c r="G209">
        <v>2</v>
      </c>
      <c r="H209" s="3">
        <v>315.23</v>
      </c>
      <c r="I209" s="3">
        <v>630.46</v>
      </c>
      <c r="J209" s="3">
        <v>462.46</v>
      </c>
      <c r="K209" s="3">
        <v>168</v>
      </c>
      <c r="L209" t="s">
        <v>17</v>
      </c>
      <c r="M209" s="7">
        <f t="shared" si="3"/>
        <v>0.26647209973670016</v>
      </c>
    </row>
    <row r="210" spans="1:13" x14ac:dyDescent="0.35">
      <c r="A210" t="s">
        <v>254</v>
      </c>
      <c r="B210" s="2">
        <v>45716</v>
      </c>
      <c r="C210" t="s">
        <v>29</v>
      </c>
      <c r="D210" t="s">
        <v>68</v>
      </c>
      <c r="E210" t="s">
        <v>26</v>
      </c>
      <c r="F210" t="s">
        <v>31</v>
      </c>
      <c r="G210">
        <v>18</v>
      </c>
      <c r="H210" s="3">
        <v>40569.17</v>
      </c>
      <c r="I210" s="3">
        <v>730245.06</v>
      </c>
      <c r="J210" s="3">
        <v>552785.61</v>
      </c>
      <c r="K210" s="3">
        <v>177459.45</v>
      </c>
      <c r="L210" t="s">
        <v>17</v>
      </c>
      <c r="M210" s="7">
        <f t="shared" si="3"/>
        <v>0.24301355766788754</v>
      </c>
    </row>
    <row r="211" spans="1:13" x14ac:dyDescent="0.35">
      <c r="A211" t="s">
        <v>255</v>
      </c>
      <c r="B211" s="2">
        <v>45778</v>
      </c>
      <c r="C211" t="s">
        <v>13</v>
      </c>
      <c r="D211" t="s">
        <v>39</v>
      </c>
      <c r="E211" t="s">
        <v>21</v>
      </c>
      <c r="F211" t="s">
        <v>63</v>
      </c>
      <c r="G211">
        <v>18</v>
      </c>
      <c r="H211" s="3">
        <v>5943.51</v>
      </c>
      <c r="I211" s="3">
        <v>106983.18</v>
      </c>
      <c r="J211" s="3">
        <v>72702.899999999994</v>
      </c>
      <c r="K211" s="3">
        <v>34280.28</v>
      </c>
      <c r="L211" t="s">
        <v>23</v>
      </c>
      <c r="M211" s="7">
        <f t="shared" si="3"/>
        <v>0.32042681849614119</v>
      </c>
    </row>
    <row r="212" spans="1:13" x14ac:dyDescent="0.35">
      <c r="A212" t="s">
        <v>256</v>
      </c>
      <c r="B212" s="2">
        <v>45860</v>
      </c>
      <c r="C212" t="s">
        <v>19</v>
      </c>
      <c r="D212" t="s">
        <v>68</v>
      </c>
      <c r="E212" t="s">
        <v>26</v>
      </c>
      <c r="F212" t="s">
        <v>27</v>
      </c>
      <c r="G212">
        <v>2</v>
      </c>
      <c r="H212" s="3">
        <v>11610.76</v>
      </c>
      <c r="I212" s="3">
        <v>23221.52</v>
      </c>
      <c r="J212" s="3">
        <v>17025.95</v>
      </c>
      <c r="K212" s="3">
        <v>6195.57</v>
      </c>
      <c r="L212" t="s">
        <v>17</v>
      </c>
      <c r="M212" s="7">
        <f t="shared" si="3"/>
        <v>0.2668029482996806</v>
      </c>
    </row>
    <row r="213" spans="1:13" x14ac:dyDescent="0.35">
      <c r="A213" t="s">
        <v>257</v>
      </c>
      <c r="B213" s="2">
        <v>45755</v>
      </c>
      <c r="C213" t="s">
        <v>13</v>
      </c>
      <c r="D213" t="s">
        <v>44</v>
      </c>
      <c r="E213" t="s">
        <v>26</v>
      </c>
      <c r="F213" t="s">
        <v>27</v>
      </c>
      <c r="G213">
        <v>6</v>
      </c>
      <c r="H213" s="3">
        <v>13027.87</v>
      </c>
      <c r="I213" s="3">
        <v>78167.22</v>
      </c>
      <c r="J213" s="3">
        <v>48935.23</v>
      </c>
      <c r="K213" s="3">
        <v>29231.99</v>
      </c>
      <c r="L213" t="s">
        <v>23</v>
      </c>
      <c r="M213" s="7">
        <f t="shared" si="3"/>
        <v>0.37396737404758673</v>
      </c>
    </row>
    <row r="214" spans="1:13" x14ac:dyDescent="0.35">
      <c r="A214" t="s">
        <v>258</v>
      </c>
      <c r="B214" s="2">
        <v>45911</v>
      </c>
      <c r="C214" t="s">
        <v>42</v>
      </c>
      <c r="D214" t="s">
        <v>68</v>
      </c>
      <c r="E214" t="s">
        <v>26</v>
      </c>
      <c r="F214" t="s">
        <v>49</v>
      </c>
      <c r="G214">
        <v>6</v>
      </c>
      <c r="H214" s="3">
        <v>1499.89</v>
      </c>
      <c r="I214" s="3">
        <v>8999.34</v>
      </c>
      <c r="J214" s="3">
        <v>5689.22</v>
      </c>
      <c r="K214" s="3">
        <v>3310.12</v>
      </c>
      <c r="L214" t="s">
        <v>52</v>
      </c>
      <c r="M214" s="7">
        <f t="shared" si="3"/>
        <v>0.36781808443730318</v>
      </c>
    </row>
    <row r="215" spans="1:13" x14ac:dyDescent="0.35">
      <c r="A215" t="s">
        <v>259</v>
      </c>
      <c r="B215" s="2">
        <v>45842</v>
      </c>
      <c r="C215" t="s">
        <v>13</v>
      </c>
      <c r="D215" t="s">
        <v>14</v>
      </c>
      <c r="E215" t="s">
        <v>26</v>
      </c>
      <c r="F215" t="s">
        <v>49</v>
      </c>
      <c r="G215">
        <v>1</v>
      </c>
      <c r="H215" s="3">
        <v>1385.32</v>
      </c>
      <c r="I215" s="3">
        <v>1385.32</v>
      </c>
      <c r="J215" s="3">
        <v>1134.46</v>
      </c>
      <c r="K215" s="3">
        <v>250.86</v>
      </c>
      <c r="L215" t="s">
        <v>17</v>
      </c>
      <c r="M215" s="7">
        <f t="shared" si="3"/>
        <v>0.18108451476915083</v>
      </c>
    </row>
    <row r="216" spans="1:13" x14ac:dyDescent="0.35">
      <c r="A216" t="s">
        <v>260</v>
      </c>
      <c r="B216" s="2">
        <v>45749</v>
      </c>
      <c r="C216" t="s">
        <v>29</v>
      </c>
      <c r="D216" t="s">
        <v>25</v>
      </c>
      <c r="E216" t="s">
        <v>15</v>
      </c>
      <c r="F216" t="s">
        <v>34</v>
      </c>
      <c r="G216">
        <v>2</v>
      </c>
      <c r="H216" s="3">
        <v>134.16999999999999</v>
      </c>
      <c r="I216" s="3">
        <v>268.33999999999997</v>
      </c>
      <c r="J216" s="3">
        <v>183.25</v>
      </c>
      <c r="K216" s="3">
        <v>85.09</v>
      </c>
      <c r="L216" t="s">
        <v>52</v>
      </c>
      <c r="M216" s="7">
        <f t="shared" si="3"/>
        <v>0.31709771185809055</v>
      </c>
    </row>
    <row r="217" spans="1:13" x14ac:dyDescent="0.35">
      <c r="A217" t="s">
        <v>261</v>
      </c>
      <c r="B217" s="2">
        <v>45700</v>
      </c>
      <c r="C217" t="s">
        <v>19</v>
      </c>
      <c r="D217" t="s">
        <v>25</v>
      </c>
      <c r="E217" t="s">
        <v>21</v>
      </c>
      <c r="F217" t="s">
        <v>22</v>
      </c>
      <c r="G217">
        <v>10</v>
      </c>
      <c r="H217" s="3">
        <v>10048.42</v>
      </c>
      <c r="I217" s="3">
        <v>100484.2</v>
      </c>
      <c r="J217" s="3">
        <v>73493.919999999998</v>
      </c>
      <c r="K217" s="3">
        <v>26990.28</v>
      </c>
      <c r="L217" t="s">
        <v>17</v>
      </c>
      <c r="M217" s="7">
        <f t="shared" si="3"/>
        <v>0.26860222801196604</v>
      </c>
    </row>
    <row r="218" spans="1:13" x14ac:dyDescent="0.35">
      <c r="A218" t="s">
        <v>262</v>
      </c>
      <c r="B218" s="2">
        <v>45724</v>
      </c>
      <c r="C218" t="s">
        <v>42</v>
      </c>
      <c r="D218" t="s">
        <v>30</v>
      </c>
      <c r="E218" t="s">
        <v>15</v>
      </c>
      <c r="F218" t="s">
        <v>37</v>
      </c>
      <c r="G218">
        <v>3</v>
      </c>
      <c r="H218" s="3">
        <v>382.22</v>
      </c>
      <c r="I218" s="3">
        <v>1146.6600000000001</v>
      </c>
      <c r="J218" s="3">
        <v>943.21</v>
      </c>
      <c r="K218" s="3">
        <v>203.45</v>
      </c>
      <c r="L218" t="s">
        <v>52</v>
      </c>
      <c r="M218" s="7">
        <f t="shared" si="3"/>
        <v>0.17742835714161126</v>
      </c>
    </row>
    <row r="219" spans="1:13" x14ac:dyDescent="0.35">
      <c r="A219" t="s">
        <v>263</v>
      </c>
      <c r="B219" s="2">
        <v>45865</v>
      </c>
      <c r="C219" t="s">
        <v>42</v>
      </c>
      <c r="D219" t="s">
        <v>30</v>
      </c>
      <c r="E219" t="s">
        <v>15</v>
      </c>
      <c r="F219" t="s">
        <v>34</v>
      </c>
      <c r="G219">
        <v>8</v>
      </c>
      <c r="H219" s="3">
        <v>112.93</v>
      </c>
      <c r="I219" s="3">
        <v>903.44</v>
      </c>
      <c r="J219" s="3">
        <v>653.52</v>
      </c>
      <c r="K219" s="3">
        <v>249.92</v>
      </c>
      <c r="L219" t="s">
        <v>52</v>
      </c>
      <c r="M219" s="7">
        <f t="shared" si="3"/>
        <v>0.27663154166297704</v>
      </c>
    </row>
    <row r="220" spans="1:13" x14ac:dyDescent="0.35">
      <c r="A220" t="s">
        <v>264</v>
      </c>
      <c r="B220" s="2">
        <v>45923</v>
      </c>
      <c r="C220" t="s">
        <v>42</v>
      </c>
      <c r="D220" t="s">
        <v>39</v>
      </c>
      <c r="E220" t="s">
        <v>26</v>
      </c>
      <c r="F220" t="s">
        <v>27</v>
      </c>
      <c r="G220">
        <v>18</v>
      </c>
      <c r="H220" s="3">
        <v>12085.74</v>
      </c>
      <c r="I220" s="3">
        <v>217543.32</v>
      </c>
      <c r="J220" s="3">
        <v>161002.69</v>
      </c>
      <c r="K220" s="3">
        <v>56540.63</v>
      </c>
      <c r="L220" t="s">
        <v>17</v>
      </c>
      <c r="M220" s="7">
        <f t="shared" si="3"/>
        <v>0.25990515360342942</v>
      </c>
    </row>
    <row r="221" spans="1:13" x14ac:dyDescent="0.35">
      <c r="A221" t="s">
        <v>265</v>
      </c>
      <c r="B221" s="2">
        <v>45961</v>
      </c>
      <c r="C221" t="s">
        <v>13</v>
      </c>
      <c r="D221" t="s">
        <v>54</v>
      </c>
      <c r="E221" t="s">
        <v>26</v>
      </c>
      <c r="F221" t="s">
        <v>31</v>
      </c>
      <c r="G221">
        <v>6</v>
      </c>
      <c r="H221" s="3">
        <v>44282.080000000002</v>
      </c>
      <c r="I221" s="3">
        <v>265692.48</v>
      </c>
      <c r="J221" s="3">
        <v>217102.3</v>
      </c>
      <c r="K221" s="3">
        <v>48590.18</v>
      </c>
      <c r="L221" t="s">
        <v>17</v>
      </c>
      <c r="M221" s="7">
        <f t="shared" si="3"/>
        <v>0.18288127688070058</v>
      </c>
    </row>
    <row r="222" spans="1:13" x14ac:dyDescent="0.35">
      <c r="A222" t="s">
        <v>266</v>
      </c>
      <c r="B222" s="2">
        <v>45989</v>
      </c>
      <c r="C222" t="s">
        <v>19</v>
      </c>
      <c r="D222" t="s">
        <v>14</v>
      </c>
      <c r="E222" t="s">
        <v>15</v>
      </c>
      <c r="F222" t="s">
        <v>37</v>
      </c>
      <c r="G222">
        <v>4</v>
      </c>
      <c r="H222" s="3">
        <v>366.35</v>
      </c>
      <c r="I222" s="3">
        <v>1465.4</v>
      </c>
      <c r="J222" s="3">
        <v>1091.71</v>
      </c>
      <c r="K222" s="3">
        <v>373.69</v>
      </c>
      <c r="L222" t="s">
        <v>17</v>
      </c>
      <c r="M222" s="7">
        <f t="shared" si="3"/>
        <v>0.25500887129793909</v>
      </c>
    </row>
    <row r="223" spans="1:13" x14ac:dyDescent="0.35">
      <c r="A223" t="s">
        <v>267</v>
      </c>
      <c r="B223" s="2">
        <v>45935</v>
      </c>
      <c r="C223" t="s">
        <v>29</v>
      </c>
      <c r="D223" t="s">
        <v>20</v>
      </c>
      <c r="E223" t="s">
        <v>46</v>
      </c>
      <c r="F223" t="s">
        <v>70</v>
      </c>
      <c r="G223">
        <v>14</v>
      </c>
      <c r="H223" s="3">
        <v>2327.5100000000002</v>
      </c>
      <c r="I223" s="3">
        <v>32585.14</v>
      </c>
      <c r="J223" s="3">
        <v>23856.84</v>
      </c>
      <c r="K223" s="3">
        <v>8728.2999999999993</v>
      </c>
      <c r="L223" t="s">
        <v>52</v>
      </c>
      <c r="M223" s="7">
        <f t="shared" si="3"/>
        <v>0.26786136257201898</v>
      </c>
    </row>
    <row r="224" spans="1:13" x14ac:dyDescent="0.35">
      <c r="A224" t="s">
        <v>268</v>
      </c>
      <c r="B224" s="2">
        <v>46007</v>
      </c>
      <c r="C224" t="s">
        <v>42</v>
      </c>
      <c r="D224" t="s">
        <v>44</v>
      </c>
      <c r="E224" t="s">
        <v>26</v>
      </c>
      <c r="F224" t="s">
        <v>49</v>
      </c>
      <c r="G224">
        <v>16</v>
      </c>
      <c r="H224" s="3">
        <v>1559.82</v>
      </c>
      <c r="I224" s="3">
        <v>24957.119999999999</v>
      </c>
      <c r="J224" s="3">
        <v>16403.810000000001</v>
      </c>
      <c r="K224" s="3">
        <v>8553.31</v>
      </c>
      <c r="L224" t="s">
        <v>17</v>
      </c>
      <c r="M224" s="7">
        <f t="shared" si="3"/>
        <v>0.34272023374491928</v>
      </c>
    </row>
    <row r="225" spans="1:13" x14ac:dyDescent="0.35">
      <c r="A225" t="s">
        <v>269</v>
      </c>
      <c r="B225" s="2">
        <v>45662</v>
      </c>
      <c r="C225" t="s">
        <v>19</v>
      </c>
      <c r="D225" t="s">
        <v>25</v>
      </c>
      <c r="E225" t="s">
        <v>26</v>
      </c>
      <c r="F225" t="s">
        <v>49</v>
      </c>
      <c r="G225">
        <v>4</v>
      </c>
      <c r="H225" s="3">
        <v>1437.67</v>
      </c>
      <c r="I225" s="3">
        <v>5750.68</v>
      </c>
      <c r="J225" s="3">
        <v>4553.3100000000004</v>
      </c>
      <c r="K225" s="3">
        <v>1197.3699999999999</v>
      </c>
      <c r="L225" t="s">
        <v>23</v>
      </c>
      <c r="M225" s="7">
        <f t="shared" si="3"/>
        <v>0.20821363734375758</v>
      </c>
    </row>
    <row r="226" spans="1:13" x14ac:dyDescent="0.35">
      <c r="A226" t="s">
        <v>270</v>
      </c>
      <c r="B226" s="2">
        <v>45751</v>
      </c>
      <c r="C226" t="s">
        <v>29</v>
      </c>
      <c r="D226" t="s">
        <v>68</v>
      </c>
      <c r="E226" t="s">
        <v>26</v>
      </c>
      <c r="F226" t="s">
        <v>49</v>
      </c>
      <c r="G226">
        <v>4</v>
      </c>
      <c r="H226" s="3">
        <v>1510.92</v>
      </c>
      <c r="I226" s="3">
        <v>6043.68</v>
      </c>
      <c r="J226" s="3">
        <v>4935.54</v>
      </c>
      <c r="K226" s="3">
        <v>1108.1400000000001</v>
      </c>
      <c r="L226" t="s">
        <v>17</v>
      </c>
      <c r="M226" s="7">
        <f t="shared" si="3"/>
        <v>0.18335517433087126</v>
      </c>
    </row>
    <row r="227" spans="1:13" x14ac:dyDescent="0.35">
      <c r="A227" t="s">
        <v>271</v>
      </c>
      <c r="B227" s="2">
        <v>45702</v>
      </c>
      <c r="C227" t="s">
        <v>19</v>
      </c>
      <c r="D227" t="s">
        <v>14</v>
      </c>
      <c r="E227" t="s">
        <v>21</v>
      </c>
      <c r="F227" t="s">
        <v>22</v>
      </c>
      <c r="G227">
        <v>7</v>
      </c>
      <c r="H227" s="3">
        <v>10038.98</v>
      </c>
      <c r="I227" s="3">
        <v>70272.86</v>
      </c>
      <c r="J227" s="3">
        <v>55836.49</v>
      </c>
      <c r="K227" s="3">
        <v>14436.37</v>
      </c>
      <c r="L227" t="s">
        <v>17</v>
      </c>
      <c r="M227" s="7">
        <f t="shared" si="3"/>
        <v>0.20543307900091159</v>
      </c>
    </row>
    <row r="228" spans="1:13" x14ac:dyDescent="0.35">
      <c r="A228" t="s">
        <v>272</v>
      </c>
      <c r="B228" s="2">
        <v>45756</v>
      </c>
      <c r="C228" t="s">
        <v>13</v>
      </c>
      <c r="D228" t="s">
        <v>14</v>
      </c>
      <c r="E228" t="s">
        <v>26</v>
      </c>
      <c r="F228" t="s">
        <v>65</v>
      </c>
      <c r="G228">
        <v>9</v>
      </c>
      <c r="H228" s="3">
        <v>696.48</v>
      </c>
      <c r="I228" s="3">
        <v>6268.32</v>
      </c>
      <c r="J228" s="3">
        <v>4828.1000000000004</v>
      </c>
      <c r="K228" s="3">
        <v>1440.22</v>
      </c>
      <c r="L228" t="s">
        <v>17</v>
      </c>
      <c r="M228" s="7">
        <f t="shared" si="3"/>
        <v>0.22976172243918627</v>
      </c>
    </row>
    <row r="229" spans="1:13" x14ac:dyDescent="0.35">
      <c r="A229" t="s">
        <v>273</v>
      </c>
      <c r="B229" s="2">
        <v>45991</v>
      </c>
      <c r="C229" t="s">
        <v>13</v>
      </c>
      <c r="D229" t="s">
        <v>44</v>
      </c>
      <c r="E229" t="s">
        <v>21</v>
      </c>
      <c r="F229" t="s">
        <v>63</v>
      </c>
      <c r="G229">
        <v>17</v>
      </c>
      <c r="H229" s="3">
        <v>6285.73</v>
      </c>
      <c r="I229" s="3">
        <v>106857.41</v>
      </c>
      <c r="J229" s="3">
        <v>76144.25</v>
      </c>
      <c r="K229" s="3">
        <v>30713.16</v>
      </c>
      <c r="L229" t="s">
        <v>17</v>
      </c>
      <c r="M229" s="7">
        <f t="shared" si="3"/>
        <v>0.28742190176610116</v>
      </c>
    </row>
    <row r="230" spans="1:13" x14ac:dyDescent="0.35">
      <c r="A230" t="s">
        <v>274</v>
      </c>
      <c r="B230" s="2">
        <v>45909</v>
      </c>
      <c r="C230" t="s">
        <v>13</v>
      </c>
      <c r="D230" t="s">
        <v>14</v>
      </c>
      <c r="E230" t="s">
        <v>26</v>
      </c>
      <c r="F230" t="s">
        <v>49</v>
      </c>
      <c r="G230">
        <v>17</v>
      </c>
      <c r="H230" s="3">
        <v>1446.91</v>
      </c>
      <c r="I230" s="3">
        <v>24597.47</v>
      </c>
      <c r="J230" s="3">
        <v>17719.5</v>
      </c>
      <c r="K230" s="3">
        <v>6877.97</v>
      </c>
      <c r="L230" t="s">
        <v>17</v>
      </c>
      <c r="M230" s="7">
        <f t="shared" si="3"/>
        <v>0.27962103419579332</v>
      </c>
    </row>
    <row r="231" spans="1:13" x14ac:dyDescent="0.35">
      <c r="A231" t="s">
        <v>275</v>
      </c>
      <c r="B231" s="2">
        <v>45895</v>
      </c>
      <c r="C231" t="s">
        <v>42</v>
      </c>
      <c r="D231" t="s">
        <v>30</v>
      </c>
      <c r="E231" t="s">
        <v>46</v>
      </c>
      <c r="F231" t="s">
        <v>47</v>
      </c>
      <c r="G231">
        <v>11</v>
      </c>
      <c r="H231" s="3">
        <v>628.78</v>
      </c>
      <c r="I231" s="3">
        <v>6916.58</v>
      </c>
      <c r="J231" s="3">
        <v>5762.94</v>
      </c>
      <c r="K231" s="3">
        <v>1153.6400000000001</v>
      </c>
      <c r="L231" t="s">
        <v>17</v>
      </c>
      <c r="M231" s="7">
        <f t="shared" si="3"/>
        <v>0.16679341524279342</v>
      </c>
    </row>
    <row r="232" spans="1:13" x14ac:dyDescent="0.35">
      <c r="A232" t="s">
        <v>276</v>
      </c>
      <c r="B232" s="2">
        <v>45849</v>
      </c>
      <c r="C232" t="s">
        <v>29</v>
      </c>
      <c r="D232" t="s">
        <v>25</v>
      </c>
      <c r="E232" t="s">
        <v>46</v>
      </c>
      <c r="F232" t="s">
        <v>47</v>
      </c>
      <c r="G232">
        <v>11</v>
      </c>
      <c r="H232" s="3">
        <v>665.1</v>
      </c>
      <c r="I232" s="3">
        <v>7316.1</v>
      </c>
      <c r="J232" s="3">
        <v>5238.99</v>
      </c>
      <c r="K232" s="3">
        <v>2077.11</v>
      </c>
      <c r="L232" t="s">
        <v>52</v>
      </c>
      <c r="M232" s="7">
        <f t="shared" si="3"/>
        <v>0.28390945995817446</v>
      </c>
    </row>
    <row r="233" spans="1:13" x14ac:dyDescent="0.35">
      <c r="A233" t="s">
        <v>277</v>
      </c>
      <c r="B233" s="2">
        <v>45951</v>
      </c>
      <c r="C233" t="s">
        <v>42</v>
      </c>
      <c r="D233" t="s">
        <v>14</v>
      </c>
      <c r="E233" t="s">
        <v>21</v>
      </c>
      <c r="F233" t="s">
        <v>22</v>
      </c>
      <c r="G233">
        <v>12</v>
      </c>
      <c r="H233" s="3">
        <v>9908.33</v>
      </c>
      <c r="I233" s="3">
        <v>118899.96</v>
      </c>
      <c r="J233" s="3">
        <v>92178.94</v>
      </c>
      <c r="K233" s="3">
        <v>26721.02</v>
      </c>
      <c r="L233" t="s">
        <v>52</v>
      </c>
      <c r="M233" s="7">
        <f t="shared" si="3"/>
        <v>0.22473531530204047</v>
      </c>
    </row>
    <row r="234" spans="1:13" x14ac:dyDescent="0.35">
      <c r="A234" t="s">
        <v>278</v>
      </c>
      <c r="B234" s="2">
        <v>45836</v>
      </c>
      <c r="C234" t="s">
        <v>29</v>
      </c>
      <c r="D234" t="s">
        <v>33</v>
      </c>
      <c r="E234" t="s">
        <v>15</v>
      </c>
      <c r="F234" t="s">
        <v>34</v>
      </c>
      <c r="G234">
        <v>18</v>
      </c>
      <c r="H234" s="3">
        <v>108.86</v>
      </c>
      <c r="I234" s="3">
        <v>1959.48</v>
      </c>
      <c r="J234" s="3">
        <v>1241.23</v>
      </c>
      <c r="K234" s="3">
        <v>718.25</v>
      </c>
      <c r="L234" t="s">
        <v>52</v>
      </c>
      <c r="M234" s="7">
        <f t="shared" si="3"/>
        <v>0.36655132994467921</v>
      </c>
    </row>
    <row r="235" spans="1:13" x14ac:dyDescent="0.35">
      <c r="A235" t="s">
        <v>279</v>
      </c>
      <c r="B235" s="2">
        <v>45805</v>
      </c>
      <c r="C235" t="s">
        <v>19</v>
      </c>
      <c r="D235" t="s">
        <v>44</v>
      </c>
      <c r="E235" t="s">
        <v>26</v>
      </c>
      <c r="F235" t="s">
        <v>49</v>
      </c>
      <c r="G235">
        <v>18</v>
      </c>
      <c r="H235" s="3">
        <v>1561.65</v>
      </c>
      <c r="I235" s="3">
        <v>28109.7</v>
      </c>
      <c r="J235" s="3">
        <v>24000.27</v>
      </c>
      <c r="K235" s="3">
        <v>4109.43</v>
      </c>
      <c r="L235" t="s">
        <v>17</v>
      </c>
      <c r="M235" s="7">
        <f t="shared" si="3"/>
        <v>0.14619259543858526</v>
      </c>
    </row>
    <row r="236" spans="1:13" x14ac:dyDescent="0.35">
      <c r="A236" t="s">
        <v>280</v>
      </c>
      <c r="B236" s="2">
        <v>45706</v>
      </c>
      <c r="C236" t="s">
        <v>42</v>
      </c>
      <c r="D236" t="s">
        <v>33</v>
      </c>
      <c r="E236" t="s">
        <v>46</v>
      </c>
      <c r="F236" t="s">
        <v>51</v>
      </c>
      <c r="G236">
        <v>19</v>
      </c>
      <c r="H236" s="3">
        <v>3379.67</v>
      </c>
      <c r="I236" s="3">
        <v>64213.73</v>
      </c>
      <c r="J236" s="3">
        <v>45389.4</v>
      </c>
      <c r="K236" s="3">
        <v>18824.330000000002</v>
      </c>
      <c r="L236" t="s">
        <v>52</v>
      </c>
      <c r="M236" s="7">
        <f t="shared" si="3"/>
        <v>0.29315116876094882</v>
      </c>
    </row>
    <row r="237" spans="1:13" x14ac:dyDescent="0.35">
      <c r="A237" t="s">
        <v>281</v>
      </c>
      <c r="B237" s="2">
        <v>45677</v>
      </c>
      <c r="C237" t="s">
        <v>42</v>
      </c>
      <c r="D237" t="s">
        <v>33</v>
      </c>
      <c r="E237" t="s">
        <v>15</v>
      </c>
      <c r="F237" t="s">
        <v>34</v>
      </c>
      <c r="G237">
        <v>16</v>
      </c>
      <c r="H237" s="3">
        <v>133.47999999999999</v>
      </c>
      <c r="I237" s="3">
        <v>2135.6799999999998</v>
      </c>
      <c r="J237" s="3">
        <v>1748.4</v>
      </c>
      <c r="K237" s="3">
        <v>387.28</v>
      </c>
      <c r="L237" t="s">
        <v>52</v>
      </c>
      <c r="M237" s="7">
        <f t="shared" si="3"/>
        <v>0.18133802816901409</v>
      </c>
    </row>
    <row r="238" spans="1:13" x14ac:dyDescent="0.35">
      <c r="A238" t="s">
        <v>282</v>
      </c>
      <c r="B238" s="2">
        <v>45785</v>
      </c>
      <c r="C238" t="s">
        <v>42</v>
      </c>
      <c r="D238" t="s">
        <v>54</v>
      </c>
      <c r="E238" t="s">
        <v>46</v>
      </c>
      <c r="F238" t="s">
        <v>47</v>
      </c>
      <c r="G238">
        <v>8</v>
      </c>
      <c r="H238" s="3">
        <v>602.71</v>
      </c>
      <c r="I238" s="3">
        <v>4821.68</v>
      </c>
      <c r="J238" s="3">
        <v>3337.04</v>
      </c>
      <c r="K238" s="3">
        <v>1484.64</v>
      </c>
      <c r="L238" t="s">
        <v>52</v>
      </c>
      <c r="M238" s="7">
        <f t="shared" si="3"/>
        <v>0.30790927643476962</v>
      </c>
    </row>
    <row r="239" spans="1:13" x14ac:dyDescent="0.35">
      <c r="A239" t="s">
        <v>283</v>
      </c>
      <c r="B239" s="2">
        <v>45880</v>
      </c>
      <c r="C239" t="s">
        <v>42</v>
      </c>
      <c r="D239" t="s">
        <v>14</v>
      </c>
      <c r="E239" t="s">
        <v>46</v>
      </c>
      <c r="F239" t="s">
        <v>51</v>
      </c>
      <c r="G239">
        <v>18</v>
      </c>
      <c r="H239" s="3">
        <v>3210.13</v>
      </c>
      <c r="I239" s="3">
        <v>57782.34</v>
      </c>
      <c r="J239" s="3">
        <v>39504.53</v>
      </c>
      <c r="K239" s="3">
        <v>18277.810000000001</v>
      </c>
      <c r="L239" t="s">
        <v>17</v>
      </c>
      <c r="M239" s="7">
        <f t="shared" si="3"/>
        <v>0.31632173428767341</v>
      </c>
    </row>
    <row r="240" spans="1:13" x14ac:dyDescent="0.35">
      <c r="A240" t="s">
        <v>284</v>
      </c>
      <c r="B240" s="2">
        <v>45771</v>
      </c>
      <c r="C240" t="s">
        <v>19</v>
      </c>
      <c r="D240" t="s">
        <v>54</v>
      </c>
      <c r="E240" t="s">
        <v>46</v>
      </c>
      <c r="F240" t="s">
        <v>70</v>
      </c>
      <c r="G240">
        <v>1</v>
      </c>
      <c r="H240" s="3">
        <v>2114.33</v>
      </c>
      <c r="I240" s="3">
        <v>2114.33</v>
      </c>
      <c r="J240" s="3">
        <v>1473.31</v>
      </c>
      <c r="K240" s="3">
        <v>641.02</v>
      </c>
      <c r="L240" t="s">
        <v>52</v>
      </c>
      <c r="M240" s="7">
        <f t="shared" si="3"/>
        <v>0.30317878476869742</v>
      </c>
    </row>
    <row r="241" spans="1:13" x14ac:dyDescent="0.35">
      <c r="A241" t="s">
        <v>285</v>
      </c>
      <c r="B241" s="2">
        <v>45986</v>
      </c>
      <c r="C241" t="s">
        <v>29</v>
      </c>
      <c r="D241" t="s">
        <v>25</v>
      </c>
      <c r="E241" t="s">
        <v>15</v>
      </c>
      <c r="F241" t="s">
        <v>37</v>
      </c>
      <c r="G241">
        <v>6</v>
      </c>
      <c r="H241" s="3">
        <v>367.58</v>
      </c>
      <c r="I241" s="3">
        <v>2205.48</v>
      </c>
      <c r="J241" s="3">
        <v>1677.13</v>
      </c>
      <c r="K241" s="3">
        <v>528.35</v>
      </c>
      <c r="L241" t="s">
        <v>52</v>
      </c>
      <c r="M241" s="7">
        <f t="shared" si="3"/>
        <v>0.239562362841649</v>
      </c>
    </row>
    <row r="242" spans="1:13" x14ac:dyDescent="0.35">
      <c r="A242" t="s">
        <v>286</v>
      </c>
      <c r="B242" s="2">
        <v>45941</v>
      </c>
      <c r="C242" t="s">
        <v>29</v>
      </c>
      <c r="D242" t="s">
        <v>14</v>
      </c>
      <c r="E242" t="s">
        <v>26</v>
      </c>
      <c r="F242" t="s">
        <v>49</v>
      </c>
      <c r="G242">
        <v>17</v>
      </c>
      <c r="H242" s="3">
        <v>1545.13</v>
      </c>
      <c r="I242" s="3">
        <v>26267.21</v>
      </c>
      <c r="J242" s="3">
        <v>18623.169999999998</v>
      </c>
      <c r="K242" s="3">
        <v>7644.04</v>
      </c>
      <c r="L242" t="s">
        <v>17</v>
      </c>
      <c r="M242" s="7">
        <f t="shared" si="3"/>
        <v>0.2910107316308051</v>
      </c>
    </row>
    <row r="243" spans="1:13" x14ac:dyDescent="0.35">
      <c r="A243" t="s">
        <v>287</v>
      </c>
      <c r="B243" s="2">
        <v>45694</v>
      </c>
      <c r="C243" t="s">
        <v>42</v>
      </c>
      <c r="D243" t="s">
        <v>14</v>
      </c>
      <c r="E243" t="s">
        <v>15</v>
      </c>
      <c r="F243" t="s">
        <v>16</v>
      </c>
      <c r="G243">
        <v>1</v>
      </c>
      <c r="H243" s="3">
        <v>242.22</v>
      </c>
      <c r="I243" s="3">
        <v>242.22</v>
      </c>
      <c r="J243" s="3">
        <v>178.33</v>
      </c>
      <c r="K243" s="3">
        <v>63.89</v>
      </c>
      <c r="L243" t="s">
        <v>52</v>
      </c>
      <c r="M243" s="7">
        <f t="shared" si="3"/>
        <v>0.26376847494013705</v>
      </c>
    </row>
    <row r="244" spans="1:13" x14ac:dyDescent="0.35">
      <c r="A244" t="s">
        <v>288</v>
      </c>
      <c r="B244" s="2">
        <v>46011</v>
      </c>
      <c r="C244" t="s">
        <v>42</v>
      </c>
      <c r="D244" t="s">
        <v>44</v>
      </c>
      <c r="E244" t="s">
        <v>21</v>
      </c>
      <c r="F244" t="s">
        <v>22</v>
      </c>
      <c r="G244">
        <v>12</v>
      </c>
      <c r="H244" s="3">
        <v>10602.98</v>
      </c>
      <c r="I244" s="3">
        <v>127235.76</v>
      </c>
      <c r="J244" s="3">
        <v>88528.320000000007</v>
      </c>
      <c r="K244" s="3">
        <v>38707.440000000002</v>
      </c>
      <c r="L244" t="s">
        <v>23</v>
      </c>
      <c r="M244" s="7">
        <f t="shared" si="3"/>
        <v>0.30421824807742731</v>
      </c>
    </row>
    <row r="245" spans="1:13" x14ac:dyDescent="0.35">
      <c r="A245" t="s">
        <v>289</v>
      </c>
      <c r="B245" s="2">
        <v>45982</v>
      </c>
      <c r="C245" t="s">
        <v>42</v>
      </c>
      <c r="D245" t="s">
        <v>33</v>
      </c>
      <c r="E245" t="s">
        <v>26</v>
      </c>
      <c r="F245" t="s">
        <v>49</v>
      </c>
      <c r="G245">
        <v>19</v>
      </c>
      <c r="H245" s="3">
        <v>1543.46</v>
      </c>
      <c r="I245" s="3">
        <v>29325.74</v>
      </c>
      <c r="J245" s="3">
        <v>20485.7</v>
      </c>
      <c r="K245" s="3">
        <v>8840.0400000000009</v>
      </c>
      <c r="L245" t="s">
        <v>23</v>
      </c>
      <c r="M245" s="7">
        <f t="shared" si="3"/>
        <v>0.30144303263958561</v>
      </c>
    </row>
    <row r="246" spans="1:13" x14ac:dyDescent="0.35">
      <c r="A246" t="s">
        <v>290</v>
      </c>
      <c r="B246" s="2">
        <v>45955</v>
      </c>
      <c r="C246" t="s">
        <v>29</v>
      </c>
      <c r="D246" t="s">
        <v>68</v>
      </c>
      <c r="E246" t="s">
        <v>26</v>
      </c>
      <c r="F246" t="s">
        <v>27</v>
      </c>
      <c r="G246">
        <v>11</v>
      </c>
      <c r="H246" s="3">
        <v>11992.12</v>
      </c>
      <c r="I246" s="3">
        <v>131913.32</v>
      </c>
      <c r="J246" s="3">
        <v>102967.41</v>
      </c>
      <c r="K246" s="3">
        <v>28945.91</v>
      </c>
      <c r="L246" t="s">
        <v>17</v>
      </c>
      <c r="M246" s="7">
        <f t="shared" si="3"/>
        <v>0.21943129018358418</v>
      </c>
    </row>
    <row r="247" spans="1:13" x14ac:dyDescent="0.35">
      <c r="A247" t="s">
        <v>291</v>
      </c>
      <c r="B247" s="2">
        <v>45677</v>
      </c>
      <c r="C247" t="s">
        <v>13</v>
      </c>
      <c r="D247" t="s">
        <v>54</v>
      </c>
      <c r="E247" t="s">
        <v>21</v>
      </c>
      <c r="F247" t="s">
        <v>63</v>
      </c>
      <c r="G247">
        <v>11</v>
      </c>
      <c r="H247" s="3">
        <v>6889.24</v>
      </c>
      <c r="I247" s="3">
        <v>75781.64</v>
      </c>
      <c r="J247" s="3">
        <v>59053.7</v>
      </c>
      <c r="K247" s="3">
        <v>16727.939999999999</v>
      </c>
      <c r="L247" t="s">
        <v>17</v>
      </c>
      <c r="M247" s="7">
        <f t="shared" si="3"/>
        <v>0.22073869079634589</v>
      </c>
    </row>
    <row r="248" spans="1:13" x14ac:dyDescent="0.35">
      <c r="A248" t="s">
        <v>292</v>
      </c>
      <c r="B248" s="2">
        <v>45757</v>
      </c>
      <c r="C248" t="s">
        <v>29</v>
      </c>
      <c r="D248" t="s">
        <v>68</v>
      </c>
      <c r="E248" t="s">
        <v>26</v>
      </c>
      <c r="F248" t="s">
        <v>49</v>
      </c>
      <c r="G248">
        <v>3</v>
      </c>
      <c r="H248" s="3">
        <v>1459.25</v>
      </c>
      <c r="I248" s="3">
        <v>4377.75</v>
      </c>
      <c r="J248" s="3">
        <v>2916.61</v>
      </c>
      <c r="K248" s="3">
        <v>1461.14</v>
      </c>
      <c r="L248" t="s">
        <v>52</v>
      </c>
      <c r="M248" s="7">
        <f t="shared" si="3"/>
        <v>0.3337650619610531</v>
      </c>
    </row>
    <row r="249" spans="1:13" x14ac:dyDescent="0.35">
      <c r="A249" t="s">
        <v>293</v>
      </c>
      <c r="B249" s="2">
        <v>45735</v>
      </c>
      <c r="C249" t="s">
        <v>13</v>
      </c>
      <c r="D249" t="s">
        <v>33</v>
      </c>
      <c r="E249" t="s">
        <v>26</v>
      </c>
      <c r="F249" t="s">
        <v>65</v>
      </c>
      <c r="G249">
        <v>5</v>
      </c>
      <c r="H249" s="3">
        <v>724.63</v>
      </c>
      <c r="I249" s="3">
        <v>3623.15</v>
      </c>
      <c r="J249" s="3">
        <v>2907.61</v>
      </c>
      <c r="K249" s="3">
        <v>715.54</v>
      </c>
      <c r="L249" t="s">
        <v>52</v>
      </c>
      <c r="M249" s="7">
        <f t="shared" si="3"/>
        <v>0.1974911334060141</v>
      </c>
    </row>
    <row r="250" spans="1:13" x14ac:dyDescent="0.35">
      <c r="A250" t="s">
        <v>294</v>
      </c>
      <c r="B250" s="2">
        <v>45797</v>
      </c>
      <c r="C250" t="s">
        <v>42</v>
      </c>
      <c r="D250" t="s">
        <v>68</v>
      </c>
      <c r="E250" t="s">
        <v>26</v>
      </c>
      <c r="F250" t="s">
        <v>31</v>
      </c>
      <c r="G250">
        <v>3</v>
      </c>
      <c r="H250" s="3">
        <v>45401.79</v>
      </c>
      <c r="I250" s="3">
        <v>136205.37</v>
      </c>
      <c r="J250" s="3">
        <v>105189.63</v>
      </c>
      <c r="K250" s="3">
        <v>31015.74</v>
      </c>
      <c r="L250" t="s">
        <v>17</v>
      </c>
      <c r="M250" s="7">
        <f t="shared" si="3"/>
        <v>0.22771304831813902</v>
      </c>
    </row>
    <row r="251" spans="1:13" x14ac:dyDescent="0.35">
      <c r="A251" t="s">
        <v>295</v>
      </c>
      <c r="B251" s="2">
        <v>45997</v>
      </c>
      <c r="C251" t="s">
        <v>13</v>
      </c>
      <c r="D251" t="s">
        <v>39</v>
      </c>
      <c r="E251" t="s">
        <v>46</v>
      </c>
      <c r="F251" t="s">
        <v>70</v>
      </c>
      <c r="G251">
        <v>12</v>
      </c>
      <c r="H251" s="3">
        <v>2225.12</v>
      </c>
      <c r="I251" s="3">
        <v>26701.439999999999</v>
      </c>
      <c r="J251" s="3">
        <v>22816.82</v>
      </c>
      <c r="K251" s="3">
        <v>3884.62</v>
      </c>
      <c r="L251" t="s">
        <v>17</v>
      </c>
      <c r="M251" s="7">
        <f t="shared" si="3"/>
        <v>0.14548353946453824</v>
      </c>
    </row>
    <row r="252" spans="1:13" x14ac:dyDescent="0.35">
      <c r="A252" t="s">
        <v>296</v>
      </c>
      <c r="B252" s="2">
        <v>45760</v>
      </c>
      <c r="C252" t="s">
        <v>19</v>
      </c>
      <c r="D252" t="s">
        <v>39</v>
      </c>
      <c r="E252" t="s">
        <v>15</v>
      </c>
      <c r="F252" t="s">
        <v>16</v>
      </c>
      <c r="G252">
        <v>7</v>
      </c>
      <c r="H252" s="3">
        <v>241.77</v>
      </c>
      <c r="I252" s="3">
        <v>1692.39</v>
      </c>
      <c r="J252" s="3">
        <v>1354.09</v>
      </c>
      <c r="K252" s="3">
        <v>338.3</v>
      </c>
      <c r="L252" t="s">
        <v>23</v>
      </c>
      <c r="M252" s="7">
        <f t="shared" si="3"/>
        <v>0.19989482329723054</v>
      </c>
    </row>
    <row r="253" spans="1:13" x14ac:dyDescent="0.35">
      <c r="A253" t="s">
        <v>297</v>
      </c>
      <c r="B253" s="2">
        <v>45891</v>
      </c>
      <c r="C253" t="s">
        <v>29</v>
      </c>
      <c r="D253" t="s">
        <v>25</v>
      </c>
      <c r="E253" t="s">
        <v>15</v>
      </c>
      <c r="F253" t="s">
        <v>34</v>
      </c>
      <c r="G253">
        <v>5</v>
      </c>
      <c r="H253" s="3">
        <v>125.8</v>
      </c>
      <c r="I253" s="3">
        <v>629</v>
      </c>
      <c r="J253" s="3">
        <v>481.43</v>
      </c>
      <c r="K253" s="3">
        <v>147.57</v>
      </c>
      <c r="L253" t="s">
        <v>23</v>
      </c>
      <c r="M253" s="7">
        <f t="shared" si="3"/>
        <v>0.23461049284578694</v>
      </c>
    </row>
    <row r="254" spans="1:13" x14ac:dyDescent="0.35">
      <c r="A254" t="s">
        <v>298</v>
      </c>
      <c r="B254" s="2">
        <v>45824</v>
      </c>
      <c r="C254" t="s">
        <v>13</v>
      </c>
      <c r="D254" t="s">
        <v>20</v>
      </c>
      <c r="E254" t="s">
        <v>46</v>
      </c>
      <c r="F254" t="s">
        <v>70</v>
      </c>
      <c r="G254">
        <v>18</v>
      </c>
      <c r="H254" s="3">
        <v>2267.85</v>
      </c>
      <c r="I254" s="3">
        <v>40821.300000000003</v>
      </c>
      <c r="J254" s="3">
        <v>29400.19</v>
      </c>
      <c r="K254" s="3">
        <v>11421.11</v>
      </c>
      <c r="L254" t="s">
        <v>52</v>
      </c>
      <c r="M254" s="7">
        <f t="shared" si="3"/>
        <v>0.27978310342884721</v>
      </c>
    </row>
    <row r="255" spans="1:13" x14ac:dyDescent="0.35">
      <c r="A255" t="s">
        <v>299</v>
      </c>
      <c r="B255" s="2">
        <v>45772</v>
      </c>
      <c r="C255" t="s">
        <v>29</v>
      </c>
      <c r="D255" t="s">
        <v>14</v>
      </c>
      <c r="E255" t="s">
        <v>46</v>
      </c>
      <c r="F255" t="s">
        <v>51</v>
      </c>
      <c r="G255">
        <v>11</v>
      </c>
      <c r="H255" s="3">
        <v>2989.46</v>
      </c>
      <c r="I255" s="3">
        <v>32884.06</v>
      </c>
      <c r="J255" s="3">
        <v>20694.7</v>
      </c>
      <c r="K255" s="3">
        <v>12189.36</v>
      </c>
      <c r="L255" t="s">
        <v>52</v>
      </c>
      <c r="M255" s="7">
        <f t="shared" si="3"/>
        <v>0.3706768568114765</v>
      </c>
    </row>
    <row r="256" spans="1:13" x14ac:dyDescent="0.35">
      <c r="A256" t="s">
        <v>300</v>
      </c>
      <c r="B256" s="2">
        <v>45705</v>
      </c>
      <c r="C256" t="s">
        <v>19</v>
      </c>
      <c r="D256" t="s">
        <v>33</v>
      </c>
      <c r="E256" t="s">
        <v>15</v>
      </c>
      <c r="F256" t="s">
        <v>34</v>
      </c>
      <c r="G256">
        <v>20</v>
      </c>
      <c r="H256" s="3">
        <v>133.37</v>
      </c>
      <c r="I256" s="3">
        <v>2667.4</v>
      </c>
      <c r="J256" s="3">
        <v>2249.34</v>
      </c>
      <c r="K256" s="3">
        <v>418.06</v>
      </c>
      <c r="L256" t="s">
        <v>52</v>
      </c>
      <c r="M256" s="7">
        <f t="shared" si="3"/>
        <v>0.15672939941516081</v>
      </c>
    </row>
    <row r="257" spans="1:13" x14ac:dyDescent="0.35">
      <c r="A257" t="s">
        <v>301</v>
      </c>
      <c r="B257" s="2">
        <v>45658</v>
      </c>
      <c r="C257" t="s">
        <v>19</v>
      </c>
      <c r="D257" t="s">
        <v>33</v>
      </c>
      <c r="E257" t="s">
        <v>21</v>
      </c>
      <c r="F257" t="s">
        <v>63</v>
      </c>
      <c r="G257">
        <v>14</v>
      </c>
      <c r="H257" s="3">
        <v>6553.26</v>
      </c>
      <c r="I257" s="3">
        <v>91745.64</v>
      </c>
      <c r="J257" s="3">
        <v>69637</v>
      </c>
      <c r="K257" s="3">
        <v>22108.639999999999</v>
      </c>
      <c r="L257" t="s">
        <v>23</v>
      </c>
      <c r="M257" s="7">
        <f t="shared" si="3"/>
        <v>0.24097755490070155</v>
      </c>
    </row>
    <row r="258" spans="1:13" x14ac:dyDescent="0.35">
      <c r="A258" t="s">
        <v>302</v>
      </c>
      <c r="B258" s="2">
        <v>46016</v>
      </c>
      <c r="C258" t="s">
        <v>13</v>
      </c>
      <c r="D258" t="s">
        <v>36</v>
      </c>
      <c r="E258" t="s">
        <v>15</v>
      </c>
      <c r="F258" t="s">
        <v>16</v>
      </c>
      <c r="G258">
        <v>18</v>
      </c>
      <c r="H258" s="3">
        <v>261.63</v>
      </c>
      <c r="I258" s="3">
        <v>4709.34</v>
      </c>
      <c r="J258" s="3">
        <v>3306.31</v>
      </c>
      <c r="K258" s="3">
        <v>1403.03</v>
      </c>
      <c r="L258" t="s">
        <v>52</v>
      </c>
      <c r="M258" s="7">
        <f t="shared" ref="M258:M321" si="4">K258/I258</f>
        <v>0.29792497462489437</v>
      </c>
    </row>
    <row r="259" spans="1:13" x14ac:dyDescent="0.35">
      <c r="A259" t="s">
        <v>303</v>
      </c>
      <c r="B259" s="2">
        <v>45681</v>
      </c>
      <c r="C259" t="s">
        <v>19</v>
      </c>
      <c r="D259" t="s">
        <v>33</v>
      </c>
      <c r="E259" t="s">
        <v>21</v>
      </c>
      <c r="F259" t="s">
        <v>63</v>
      </c>
      <c r="G259">
        <v>20</v>
      </c>
      <c r="H259" s="3">
        <v>6568.85</v>
      </c>
      <c r="I259" s="3">
        <v>131377</v>
      </c>
      <c r="J259" s="3">
        <v>105477.92</v>
      </c>
      <c r="K259" s="3">
        <v>25899.08</v>
      </c>
      <c r="L259" t="s">
        <v>23</v>
      </c>
      <c r="M259" s="7">
        <f t="shared" si="4"/>
        <v>0.19713557167540743</v>
      </c>
    </row>
    <row r="260" spans="1:13" x14ac:dyDescent="0.35">
      <c r="A260" t="s">
        <v>304</v>
      </c>
      <c r="B260" s="2">
        <v>45851</v>
      </c>
      <c r="C260" t="s">
        <v>19</v>
      </c>
      <c r="D260" t="s">
        <v>36</v>
      </c>
      <c r="E260" t="s">
        <v>46</v>
      </c>
      <c r="F260" t="s">
        <v>70</v>
      </c>
      <c r="G260">
        <v>10</v>
      </c>
      <c r="H260" s="3">
        <v>2449.52</v>
      </c>
      <c r="I260" s="3">
        <v>24495.200000000001</v>
      </c>
      <c r="J260" s="3">
        <v>17595.72</v>
      </c>
      <c r="K260" s="3">
        <v>6899.48</v>
      </c>
      <c r="L260" t="s">
        <v>23</v>
      </c>
      <c r="M260" s="7">
        <f t="shared" si="4"/>
        <v>0.28166661223423362</v>
      </c>
    </row>
    <row r="261" spans="1:13" x14ac:dyDescent="0.35">
      <c r="A261" t="s">
        <v>305</v>
      </c>
      <c r="B261" s="2">
        <v>45738</v>
      </c>
      <c r="C261" t="s">
        <v>13</v>
      </c>
      <c r="D261" t="s">
        <v>33</v>
      </c>
      <c r="E261" t="s">
        <v>15</v>
      </c>
      <c r="F261" t="s">
        <v>16</v>
      </c>
      <c r="G261">
        <v>8</v>
      </c>
      <c r="H261" s="3">
        <v>245.15</v>
      </c>
      <c r="I261" s="3">
        <v>1961.2</v>
      </c>
      <c r="J261" s="3">
        <v>1489.87</v>
      </c>
      <c r="K261" s="3">
        <v>471.33</v>
      </c>
      <c r="L261" t="s">
        <v>17</v>
      </c>
      <c r="M261" s="7">
        <f t="shared" si="4"/>
        <v>0.24032735060167243</v>
      </c>
    </row>
    <row r="262" spans="1:13" x14ac:dyDescent="0.35">
      <c r="A262" t="s">
        <v>306</v>
      </c>
      <c r="B262" s="2">
        <v>45916</v>
      </c>
      <c r="C262" t="s">
        <v>13</v>
      </c>
      <c r="D262" t="s">
        <v>14</v>
      </c>
      <c r="E262" t="s">
        <v>26</v>
      </c>
      <c r="F262" t="s">
        <v>49</v>
      </c>
      <c r="G262">
        <v>14</v>
      </c>
      <c r="H262" s="3">
        <v>1490.87</v>
      </c>
      <c r="I262" s="3">
        <v>20872.18</v>
      </c>
      <c r="J262" s="3">
        <v>13704.86</v>
      </c>
      <c r="K262" s="3">
        <v>7167.32</v>
      </c>
      <c r="L262" t="s">
        <v>23</v>
      </c>
      <c r="M262" s="7">
        <f t="shared" si="4"/>
        <v>0.34339105929519581</v>
      </c>
    </row>
    <row r="263" spans="1:13" x14ac:dyDescent="0.35">
      <c r="A263" t="s">
        <v>307</v>
      </c>
      <c r="B263" s="2">
        <v>45902</v>
      </c>
      <c r="C263" t="s">
        <v>13</v>
      </c>
      <c r="D263" t="s">
        <v>36</v>
      </c>
      <c r="E263" t="s">
        <v>15</v>
      </c>
      <c r="F263" t="s">
        <v>16</v>
      </c>
      <c r="G263">
        <v>13</v>
      </c>
      <c r="H263" s="3">
        <v>262.70999999999998</v>
      </c>
      <c r="I263" s="3">
        <v>3415.23</v>
      </c>
      <c r="J263" s="3">
        <v>2353.79</v>
      </c>
      <c r="K263" s="3">
        <v>1061.44</v>
      </c>
      <c r="L263" t="s">
        <v>17</v>
      </c>
      <c r="M263" s="7">
        <f t="shared" si="4"/>
        <v>0.31079605180324604</v>
      </c>
    </row>
    <row r="264" spans="1:13" x14ac:dyDescent="0.35">
      <c r="A264" t="s">
        <v>308</v>
      </c>
      <c r="B264" s="2">
        <v>45694</v>
      </c>
      <c r="C264" t="s">
        <v>13</v>
      </c>
      <c r="D264" t="s">
        <v>25</v>
      </c>
      <c r="E264" t="s">
        <v>26</v>
      </c>
      <c r="F264" t="s">
        <v>65</v>
      </c>
      <c r="G264">
        <v>6</v>
      </c>
      <c r="H264" s="3">
        <v>693.8</v>
      </c>
      <c r="I264" s="3">
        <v>4162.8</v>
      </c>
      <c r="J264" s="3">
        <v>3339.84</v>
      </c>
      <c r="K264" s="3">
        <v>822.96</v>
      </c>
      <c r="L264" t="s">
        <v>17</v>
      </c>
      <c r="M264" s="7">
        <f t="shared" si="4"/>
        <v>0.19769385990198904</v>
      </c>
    </row>
    <row r="265" spans="1:13" x14ac:dyDescent="0.35">
      <c r="A265" t="s">
        <v>309</v>
      </c>
      <c r="B265" s="2">
        <v>45765</v>
      </c>
      <c r="C265" t="s">
        <v>19</v>
      </c>
      <c r="D265" t="s">
        <v>33</v>
      </c>
      <c r="E265" t="s">
        <v>26</v>
      </c>
      <c r="F265" t="s">
        <v>27</v>
      </c>
      <c r="G265">
        <v>20</v>
      </c>
      <c r="H265" s="3">
        <v>12715.66</v>
      </c>
      <c r="I265" s="3">
        <v>254313.2</v>
      </c>
      <c r="J265" s="3">
        <v>186250.09</v>
      </c>
      <c r="K265" s="3">
        <v>68063.11</v>
      </c>
      <c r="L265" t="s">
        <v>23</v>
      </c>
      <c r="M265" s="7">
        <f t="shared" si="4"/>
        <v>0.26763498709465333</v>
      </c>
    </row>
    <row r="266" spans="1:13" x14ac:dyDescent="0.35">
      <c r="A266" t="s">
        <v>310</v>
      </c>
      <c r="B266" s="2">
        <v>45914</v>
      </c>
      <c r="C266" t="s">
        <v>13</v>
      </c>
      <c r="D266" t="s">
        <v>33</v>
      </c>
      <c r="E266" t="s">
        <v>46</v>
      </c>
      <c r="F266" t="s">
        <v>51</v>
      </c>
      <c r="G266">
        <v>16</v>
      </c>
      <c r="H266" s="3">
        <v>3075.36</v>
      </c>
      <c r="I266" s="3">
        <v>49205.760000000002</v>
      </c>
      <c r="J266" s="3">
        <v>42158.53</v>
      </c>
      <c r="K266" s="3">
        <v>7047.23</v>
      </c>
      <c r="L266" t="s">
        <v>23</v>
      </c>
      <c r="M266" s="7">
        <f t="shared" si="4"/>
        <v>0.1432196149393892</v>
      </c>
    </row>
    <row r="267" spans="1:13" x14ac:dyDescent="0.35">
      <c r="A267" t="s">
        <v>311</v>
      </c>
      <c r="B267" s="2">
        <v>45681</v>
      </c>
      <c r="C267" t="s">
        <v>19</v>
      </c>
      <c r="D267" t="s">
        <v>33</v>
      </c>
      <c r="E267" t="s">
        <v>26</v>
      </c>
      <c r="F267" t="s">
        <v>65</v>
      </c>
      <c r="G267">
        <v>3</v>
      </c>
      <c r="H267" s="3">
        <v>647</v>
      </c>
      <c r="I267" s="3">
        <v>1941</v>
      </c>
      <c r="J267" s="3">
        <v>1532.01</v>
      </c>
      <c r="K267" s="3">
        <v>408.99</v>
      </c>
      <c r="L267" t="s">
        <v>23</v>
      </c>
      <c r="M267" s="7">
        <f t="shared" si="4"/>
        <v>0.21071097372488409</v>
      </c>
    </row>
    <row r="268" spans="1:13" x14ac:dyDescent="0.35">
      <c r="A268" t="s">
        <v>312</v>
      </c>
      <c r="B268" s="2">
        <v>45746</v>
      </c>
      <c r="C268" t="s">
        <v>19</v>
      </c>
      <c r="D268" t="s">
        <v>30</v>
      </c>
      <c r="E268" t="s">
        <v>46</v>
      </c>
      <c r="F268" t="s">
        <v>51</v>
      </c>
      <c r="G268">
        <v>15</v>
      </c>
      <c r="H268" s="3">
        <v>3130.58</v>
      </c>
      <c r="I268" s="3">
        <v>46958.7</v>
      </c>
      <c r="J268" s="3">
        <v>32009.919999999998</v>
      </c>
      <c r="K268" s="3">
        <v>14948.78</v>
      </c>
      <c r="L268" t="s">
        <v>17</v>
      </c>
      <c r="M268" s="7">
        <f t="shared" si="4"/>
        <v>0.31833888076117955</v>
      </c>
    </row>
    <row r="269" spans="1:13" x14ac:dyDescent="0.35">
      <c r="A269" t="s">
        <v>313</v>
      </c>
      <c r="B269" s="2">
        <v>45928</v>
      </c>
      <c r="C269" t="s">
        <v>13</v>
      </c>
      <c r="D269" t="s">
        <v>39</v>
      </c>
      <c r="E269" t="s">
        <v>46</v>
      </c>
      <c r="F269" t="s">
        <v>51</v>
      </c>
      <c r="G269">
        <v>19</v>
      </c>
      <c r="H269" s="3">
        <v>3503.1</v>
      </c>
      <c r="I269" s="3">
        <v>66558.899999999994</v>
      </c>
      <c r="J269" s="3">
        <v>44964.1</v>
      </c>
      <c r="K269" s="3">
        <v>21594.799999999999</v>
      </c>
      <c r="L269" t="s">
        <v>23</v>
      </c>
      <c r="M269" s="7">
        <f t="shared" si="4"/>
        <v>0.32444646771506142</v>
      </c>
    </row>
    <row r="270" spans="1:13" x14ac:dyDescent="0.35">
      <c r="A270" t="s">
        <v>314</v>
      </c>
      <c r="B270" s="2">
        <v>45978</v>
      </c>
      <c r="C270" t="s">
        <v>42</v>
      </c>
      <c r="D270" t="s">
        <v>39</v>
      </c>
      <c r="E270" t="s">
        <v>26</v>
      </c>
      <c r="F270" t="s">
        <v>31</v>
      </c>
      <c r="G270">
        <v>7</v>
      </c>
      <c r="H270" s="3">
        <v>47528.54</v>
      </c>
      <c r="I270" s="3">
        <v>332699.78000000003</v>
      </c>
      <c r="J270" s="3">
        <v>283440.40999999997</v>
      </c>
      <c r="K270" s="3">
        <v>49259.37</v>
      </c>
      <c r="L270" t="s">
        <v>23</v>
      </c>
      <c r="M270" s="7">
        <f t="shared" si="4"/>
        <v>0.14805952080882048</v>
      </c>
    </row>
    <row r="271" spans="1:13" x14ac:dyDescent="0.35">
      <c r="A271" t="s">
        <v>315</v>
      </c>
      <c r="B271" s="2">
        <v>45663</v>
      </c>
      <c r="C271" t="s">
        <v>13</v>
      </c>
      <c r="D271" t="s">
        <v>25</v>
      </c>
      <c r="E271" t="s">
        <v>26</v>
      </c>
      <c r="F271" t="s">
        <v>65</v>
      </c>
      <c r="G271">
        <v>17</v>
      </c>
      <c r="H271" s="3">
        <v>647.14</v>
      </c>
      <c r="I271" s="3">
        <v>11001.38</v>
      </c>
      <c r="J271" s="3">
        <v>7271.51</v>
      </c>
      <c r="K271" s="3">
        <v>3729.87</v>
      </c>
      <c r="L271" t="s">
        <v>17</v>
      </c>
      <c r="M271" s="7">
        <f t="shared" si="4"/>
        <v>0.3390365572319109</v>
      </c>
    </row>
    <row r="272" spans="1:13" x14ac:dyDescent="0.35">
      <c r="A272" t="s">
        <v>316</v>
      </c>
      <c r="B272" s="2">
        <v>45755</v>
      </c>
      <c r="C272" t="s">
        <v>13</v>
      </c>
      <c r="D272" t="s">
        <v>20</v>
      </c>
      <c r="E272" t="s">
        <v>21</v>
      </c>
      <c r="F272" t="s">
        <v>101</v>
      </c>
      <c r="G272">
        <v>1</v>
      </c>
      <c r="H272" s="3">
        <v>7905.76</v>
      </c>
      <c r="I272" s="3">
        <v>7905.76</v>
      </c>
      <c r="J272" s="3">
        <v>6189.63</v>
      </c>
      <c r="K272" s="3">
        <v>1716.13</v>
      </c>
      <c r="L272" t="s">
        <v>52</v>
      </c>
      <c r="M272" s="7">
        <f t="shared" si="4"/>
        <v>0.21707337434984114</v>
      </c>
    </row>
    <row r="273" spans="1:13" x14ac:dyDescent="0.35">
      <c r="A273" t="s">
        <v>317</v>
      </c>
      <c r="B273" s="2">
        <v>45883</v>
      </c>
      <c r="C273" t="s">
        <v>13</v>
      </c>
      <c r="D273" t="s">
        <v>68</v>
      </c>
      <c r="E273" t="s">
        <v>26</v>
      </c>
      <c r="F273" t="s">
        <v>31</v>
      </c>
      <c r="G273">
        <v>6</v>
      </c>
      <c r="H273" s="3">
        <v>47707.58</v>
      </c>
      <c r="I273" s="3">
        <v>286245.48</v>
      </c>
      <c r="J273" s="3">
        <v>238627.8</v>
      </c>
      <c r="K273" s="3">
        <v>47617.68</v>
      </c>
      <c r="L273" t="s">
        <v>17</v>
      </c>
      <c r="M273" s="7">
        <f t="shared" si="4"/>
        <v>0.16635260057206844</v>
      </c>
    </row>
    <row r="274" spans="1:13" x14ac:dyDescent="0.35">
      <c r="A274" t="s">
        <v>318</v>
      </c>
      <c r="B274" s="2">
        <v>45661</v>
      </c>
      <c r="C274" t="s">
        <v>42</v>
      </c>
      <c r="D274" t="s">
        <v>39</v>
      </c>
      <c r="E274" t="s">
        <v>15</v>
      </c>
      <c r="F274" t="s">
        <v>34</v>
      </c>
      <c r="G274">
        <v>1</v>
      </c>
      <c r="H274" s="3">
        <v>117.11</v>
      </c>
      <c r="I274" s="3">
        <v>117.11</v>
      </c>
      <c r="J274" s="3">
        <v>89.72</v>
      </c>
      <c r="K274" s="3">
        <v>27.39</v>
      </c>
      <c r="L274" t="s">
        <v>17</v>
      </c>
      <c r="M274" s="7">
        <f t="shared" si="4"/>
        <v>0.23388267440867561</v>
      </c>
    </row>
    <row r="275" spans="1:13" x14ac:dyDescent="0.35">
      <c r="A275" t="s">
        <v>319</v>
      </c>
      <c r="B275" s="2">
        <v>46018</v>
      </c>
      <c r="C275" t="s">
        <v>29</v>
      </c>
      <c r="D275" t="s">
        <v>39</v>
      </c>
      <c r="E275" t="s">
        <v>21</v>
      </c>
      <c r="F275" t="s">
        <v>22</v>
      </c>
      <c r="G275">
        <v>8</v>
      </c>
      <c r="H275" s="3">
        <v>10768.69</v>
      </c>
      <c r="I275" s="3">
        <v>86149.52</v>
      </c>
      <c r="J275" s="3">
        <v>72504.160000000003</v>
      </c>
      <c r="K275" s="3">
        <v>13645.36</v>
      </c>
      <c r="L275" t="s">
        <v>52</v>
      </c>
      <c r="M275" s="7">
        <f t="shared" si="4"/>
        <v>0.15839159637801811</v>
      </c>
    </row>
    <row r="276" spans="1:13" x14ac:dyDescent="0.35">
      <c r="A276" t="s">
        <v>320</v>
      </c>
      <c r="B276" s="2">
        <v>45774</v>
      </c>
      <c r="C276" t="s">
        <v>29</v>
      </c>
      <c r="D276" t="s">
        <v>44</v>
      </c>
      <c r="E276" t="s">
        <v>21</v>
      </c>
      <c r="F276" t="s">
        <v>101</v>
      </c>
      <c r="G276">
        <v>12</v>
      </c>
      <c r="H276" s="3">
        <v>7568.94</v>
      </c>
      <c r="I276" s="3">
        <v>90827.28</v>
      </c>
      <c r="J276" s="3">
        <v>75291.360000000001</v>
      </c>
      <c r="K276" s="3">
        <v>15535.92</v>
      </c>
      <c r="L276" t="s">
        <v>52</v>
      </c>
      <c r="M276" s="7">
        <f t="shared" si="4"/>
        <v>0.1710490504614913</v>
      </c>
    </row>
    <row r="277" spans="1:13" x14ac:dyDescent="0.35">
      <c r="A277" t="s">
        <v>321</v>
      </c>
      <c r="B277" s="2">
        <v>45961</v>
      </c>
      <c r="C277" t="s">
        <v>42</v>
      </c>
      <c r="D277" t="s">
        <v>54</v>
      </c>
      <c r="E277" t="s">
        <v>46</v>
      </c>
      <c r="F277" t="s">
        <v>51</v>
      </c>
      <c r="G277">
        <v>5</v>
      </c>
      <c r="H277" s="3">
        <v>3544.47</v>
      </c>
      <c r="I277" s="3">
        <v>17722.349999999999</v>
      </c>
      <c r="J277" s="3">
        <v>11429.39</v>
      </c>
      <c r="K277" s="3">
        <v>6292.96</v>
      </c>
      <c r="L277" t="s">
        <v>17</v>
      </c>
      <c r="M277" s="7">
        <f t="shared" si="4"/>
        <v>0.35508609185576406</v>
      </c>
    </row>
    <row r="278" spans="1:13" x14ac:dyDescent="0.35">
      <c r="A278" t="s">
        <v>322</v>
      </c>
      <c r="B278" s="2">
        <v>46011</v>
      </c>
      <c r="C278" t="s">
        <v>42</v>
      </c>
      <c r="D278" t="s">
        <v>20</v>
      </c>
      <c r="E278" t="s">
        <v>46</v>
      </c>
      <c r="F278" t="s">
        <v>51</v>
      </c>
      <c r="G278">
        <v>2</v>
      </c>
      <c r="H278" s="3">
        <v>2915.32</v>
      </c>
      <c r="I278" s="3">
        <v>5830.64</v>
      </c>
      <c r="J278" s="3">
        <v>3816.9</v>
      </c>
      <c r="K278" s="3">
        <v>2013.74</v>
      </c>
      <c r="L278" t="s">
        <v>17</v>
      </c>
      <c r="M278" s="7">
        <f t="shared" si="4"/>
        <v>0.3453720346308467</v>
      </c>
    </row>
    <row r="279" spans="1:13" x14ac:dyDescent="0.35">
      <c r="A279" t="s">
        <v>323</v>
      </c>
      <c r="B279" s="2">
        <v>45720</v>
      </c>
      <c r="C279" t="s">
        <v>42</v>
      </c>
      <c r="D279" t="s">
        <v>20</v>
      </c>
      <c r="E279" t="s">
        <v>26</v>
      </c>
      <c r="F279" t="s">
        <v>49</v>
      </c>
      <c r="G279">
        <v>6</v>
      </c>
      <c r="H279" s="3">
        <v>1458.26</v>
      </c>
      <c r="I279" s="3">
        <v>8749.56</v>
      </c>
      <c r="J279" s="3">
        <v>5504.88</v>
      </c>
      <c r="K279" s="3">
        <v>3244.68</v>
      </c>
      <c r="L279" t="s">
        <v>23</v>
      </c>
      <c r="M279" s="7">
        <f t="shared" si="4"/>
        <v>0.37083921934360126</v>
      </c>
    </row>
    <row r="280" spans="1:13" x14ac:dyDescent="0.35">
      <c r="A280" t="s">
        <v>324</v>
      </c>
      <c r="B280" s="2">
        <v>45777</v>
      </c>
      <c r="C280" t="s">
        <v>13</v>
      </c>
      <c r="D280" t="s">
        <v>36</v>
      </c>
      <c r="E280" t="s">
        <v>15</v>
      </c>
      <c r="F280" t="s">
        <v>16</v>
      </c>
      <c r="G280">
        <v>11</v>
      </c>
      <c r="H280" s="3">
        <v>267.29000000000002</v>
      </c>
      <c r="I280" s="3">
        <v>2940.19</v>
      </c>
      <c r="J280" s="3">
        <v>2031.38</v>
      </c>
      <c r="K280" s="3">
        <v>908.81</v>
      </c>
      <c r="L280" t="s">
        <v>17</v>
      </c>
      <c r="M280" s="7">
        <f t="shared" si="4"/>
        <v>0.30909907182869134</v>
      </c>
    </row>
    <row r="281" spans="1:13" x14ac:dyDescent="0.35">
      <c r="A281" t="s">
        <v>325</v>
      </c>
      <c r="B281" s="2">
        <v>45786</v>
      </c>
      <c r="C281" t="s">
        <v>42</v>
      </c>
      <c r="D281" t="s">
        <v>44</v>
      </c>
      <c r="E281" t="s">
        <v>21</v>
      </c>
      <c r="F281" t="s">
        <v>22</v>
      </c>
      <c r="G281">
        <v>19</v>
      </c>
      <c r="H281" s="3">
        <v>10943.61</v>
      </c>
      <c r="I281" s="3">
        <v>207928.59</v>
      </c>
      <c r="J281" s="3">
        <v>140874.59</v>
      </c>
      <c r="K281" s="3">
        <v>67054</v>
      </c>
      <c r="L281" t="s">
        <v>52</v>
      </c>
      <c r="M281" s="7">
        <f t="shared" si="4"/>
        <v>0.32248571492741812</v>
      </c>
    </row>
    <row r="282" spans="1:13" x14ac:dyDescent="0.35">
      <c r="A282" t="s">
        <v>326</v>
      </c>
      <c r="B282" s="2">
        <v>45907</v>
      </c>
      <c r="C282" t="s">
        <v>42</v>
      </c>
      <c r="D282" t="s">
        <v>25</v>
      </c>
      <c r="E282" t="s">
        <v>26</v>
      </c>
      <c r="F282" t="s">
        <v>27</v>
      </c>
      <c r="G282">
        <v>5</v>
      </c>
      <c r="H282" s="3">
        <v>12068.04</v>
      </c>
      <c r="I282" s="3">
        <v>60340.2</v>
      </c>
      <c r="J282" s="3">
        <v>48604.57</v>
      </c>
      <c r="K282" s="3">
        <v>11735.63</v>
      </c>
      <c r="L282" t="s">
        <v>23</v>
      </c>
      <c r="M282" s="7">
        <f t="shared" si="4"/>
        <v>0.19449106897226062</v>
      </c>
    </row>
    <row r="283" spans="1:13" x14ac:dyDescent="0.35">
      <c r="A283" t="s">
        <v>327</v>
      </c>
      <c r="B283" s="2">
        <v>45762</v>
      </c>
      <c r="C283" t="s">
        <v>29</v>
      </c>
      <c r="D283" t="s">
        <v>33</v>
      </c>
      <c r="E283" t="s">
        <v>21</v>
      </c>
      <c r="F283" t="s">
        <v>22</v>
      </c>
      <c r="G283">
        <v>9</v>
      </c>
      <c r="H283" s="3">
        <v>11698.14</v>
      </c>
      <c r="I283" s="3">
        <v>105283.26</v>
      </c>
      <c r="J283" s="3">
        <v>76388.789999999994</v>
      </c>
      <c r="K283" s="3">
        <v>28894.47</v>
      </c>
      <c r="L283" t="s">
        <v>17</v>
      </c>
      <c r="M283" s="7">
        <f t="shared" si="4"/>
        <v>0.27444505422799409</v>
      </c>
    </row>
    <row r="284" spans="1:13" x14ac:dyDescent="0.35">
      <c r="A284" t="s">
        <v>328</v>
      </c>
      <c r="B284" s="2">
        <v>45870</v>
      </c>
      <c r="C284" t="s">
        <v>13</v>
      </c>
      <c r="D284" t="s">
        <v>68</v>
      </c>
      <c r="E284" t="s">
        <v>15</v>
      </c>
      <c r="F284" t="s">
        <v>16</v>
      </c>
      <c r="G284">
        <v>12</v>
      </c>
      <c r="H284" s="3">
        <v>271.89999999999998</v>
      </c>
      <c r="I284" s="3">
        <v>3262.8</v>
      </c>
      <c r="J284" s="3">
        <v>2628.75</v>
      </c>
      <c r="K284" s="3">
        <v>634.04999999999995</v>
      </c>
      <c r="L284" t="s">
        <v>52</v>
      </c>
      <c r="M284" s="7">
        <f t="shared" si="4"/>
        <v>0.19432695844060313</v>
      </c>
    </row>
    <row r="285" spans="1:13" x14ac:dyDescent="0.35">
      <c r="A285" t="s">
        <v>329</v>
      </c>
      <c r="B285" s="2">
        <v>45723</v>
      </c>
      <c r="C285" t="s">
        <v>42</v>
      </c>
      <c r="D285" t="s">
        <v>36</v>
      </c>
      <c r="E285" t="s">
        <v>21</v>
      </c>
      <c r="F285" t="s">
        <v>63</v>
      </c>
      <c r="G285">
        <v>3</v>
      </c>
      <c r="H285" s="3">
        <v>6134.08</v>
      </c>
      <c r="I285" s="3">
        <v>18402.240000000002</v>
      </c>
      <c r="J285" s="3">
        <v>14098.59</v>
      </c>
      <c r="K285" s="3">
        <v>4303.6499999999996</v>
      </c>
      <c r="L285" t="s">
        <v>17</v>
      </c>
      <c r="M285" s="7">
        <f t="shared" si="4"/>
        <v>0.2338655511502947</v>
      </c>
    </row>
    <row r="286" spans="1:13" x14ac:dyDescent="0.35">
      <c r="A286" t="s">
        <v>330</v>
      </c>
      <c r="B286" s="2">
        <v>45709</v>
      </c>
      <c r="C286" t="s">
        <v>42</v>
      </c>
      <c r="D286" t="s">
        <v>54</v>
      </c>
      <c r="E286" t="s">
        <v>15</v>
      </c>
      <c r="F286" t="s">
        <v>37</v>
      </c>
      <c r="G286">
        <v>16</v>
      </c>
      <c r="H286" s="3">
        <v>337.03</v>
      </c>
      <c r="I286" s="3">
        <v>5392.48</v>
      </c>
      <c r="J286" s="3">
        <v>3348.32</v>
      </c>
      <c r="K286" s="3">
        <v>2044.16</v>
      </c>
      <c r="L286" t="s">
        <v>17</v>
      </c>
      <c r="M286" s="7">
        <f t="shared" si="4"/>
        <v>0.37907604664273215</v>
      </c>
    </row>
    <row r="287" spans="1:13" x14ac:dyDescent="0.35">
      <c r="A287" t="s">
        <v>331</v>
      </c>
      <c r="B287" s="2">
        <v>45739</v>
      </c>
      <c r="C287" t="s">
        <v>29</v>
      </c>
      <c r="D287" t="s">
        <v>39</v>
      </c>
      <c r="E287" t="s">
        <v>15</v>
      </c>
      <c r="F287" t="s">
        <v>16</v>
      </c>
      <c r="G287">
        <v>16</v>
      </c>
      <c r="H287" s="3">
        <v>272.07</v>
      </c>
      <c r="I287" s="3">
        <v>4353.12</v>
      </c>
      <c r="J287" s="3">
        <v>2720.88</v>
      </c>
      <c r="K287" s="3">
        <v>1632.24</v>
      </c>
      <c r="L287" t="s">
        <v>52</v>
      </c>
      <c r="M287" s="7">
        <f t="shared" si="4"/>
        <v>0.37495865034733711</v>
      </c>
    </row>
    <row r="288" spans="1:13" x14ac:dyDescent="0.35">
      <c r="A288" t="s">
        <v>332</v>
      </c>
      <c r="B288" s="2">
        <v>45784</v>
      </c>
      <c r="C288" t="s">
        <v>13</v>
      </c>
      <c r="D288" t="s">
        <v>39</v>
      </c>
      <c r="E288" t="s">
        <v>15</v>
      </c>
      <c r="F288" t="s">
        <v>37</v>
      </c>
      <c r="G288">
        <v>9</v>
      </c>
      <c r="H288" s="3">
        <v>361.46</v>
      </c>
      <c r="I288" s="3">
        <v>3253.14</v>
      </c>
      <c r="J288" s="3">
        <v>2449.36</v>
      </c>
      <c r="K288" s="3">
        <v>803.78</v>
      </c>
      <c r="L288" t="s">
        <v>52</v>
      </c>
      <c r="M288" s="7">
        <f t="shared" si="4"/>
        <v>0.24707820751643028</v>
      </c>
    </row>
    <row r="289" spans="1:13" x14ac:dyDescent="0.35">
      <c r="A289" t="s">
        <v>333</v>
      </c>
      <c r="B289" s="2">
        <v>45754</v>
      </c>
      <c r="C289" t="s">
        <v>13</v>
      </c>
      <c r="D289" t="s">
        <v>68</v>
      </c>
      <c r="E289" t="s">
        <v>21</v>
      </c>
      <c r="F289" t="s">
        <v>22</v>
      </c>
      <c r="G289">
        <v>1</v>
      </c>
      <c r="H289" s="3">
        <v>9911.74</v>
      </c>
      <c r="I289" s="3">
        <v>9911.74</v>
      </c>
      <c r="J289" s="3">
        <v>7943.85</v>
      </c>
      <c r="K289" s="3">
        <v>1967.89</v>
      </c>
      <c r="L289" t="s">
        <v>17</v>
      </c>
      <c r="M289" s="7">
        <f t="shared" si="4"/>
        <v>0.19854132574098998</v>
      </c>
    </row>
    <row r="290" spans="1:13" x14ac:dyDescent="0.35">
      <c r="A290" t="s">
        <v>334</v>
      </c>
      <c r="B290" s="2">
        <v>45811</v>
      </c>
      <c r="C290" t="s">
        <v>13</v>
      </c>
      <c r="D290" t="s">
        <v>30</v>
      </c>
      <c r="E290" t="s">
        <v>15</v>
      </c>
      <c r="F290" t="s">
        <v>37</v>
      </c>
      <c r="G290">
        <v>5</v>
      </c>
      <c r="H290" s="3">
        <v>384.27</v>
      </c>
      <c r="I290" s="3">
        <v>1921.35</v>
      </c>
      <c r="J290" s="3">
        <v>1569.76</v>
      </c>
      <c r="K290" s="3">
        <v>351.59</v>
      </c>
      <c r="L290" t="s">
        <v>17</v>
      </c>
      <c r="M290" s="7">
        <f t="shared" si="4"/>
        <v>0.18299112603117598</v>
      </c>
    </row>
    <row r="291" spans="1:13" x14ac:dyDescent="0.35">
      <c r="A291" t="s">
        <v>335</v>
      </c>
      <c r="B291" s="2">
        <v>45873</v>
      </c>
      <c r="C291" t="s">
        <v>29</v>
      </c>
      <c r="D291" t="s">
        <v>33</v>
      </c>
      <c r="E291" t="s">
        <v>21</v>
      </c>
      <c r="F291" t="s">
        <v>101</v>
      </c>
      <c r="G291">
        <v>15</v>
      </c>
      <c r="H291" s="3">
        <v>8257.65</v>
      </c>
      <c r="I291" s="3">
        <v>123864.75</v>
      </c>
      <c r="J291" s="3">
        <v>81079.69</v>
      </c>
      <c r="K291" s="3">
        <v>42785.06</v>
      </c>
      <c r="L291" t="s">
        <v>17</v>
      </c>
      <c r="M291" s="7">
        <f t="shared" si="4"/>
        <v>0.34541756230081599</v>
      </c>
    </row>
    <row r="292" spans="1:13" x14ac:dyDescent="0.35">
      <c r="A292" t="s">
        <v>336</v>
      </c>
      <c r="B292" s="2">
        <v>45694</v>
      </c>
      <c r="C292" t="s">
        <v>29</v>
      </c>
      <c r="D292" t="s">
        <v>54</v>
      </c>
      <c r="E292" t="s">
        <v>21</v>
      </c>
      <c r="F292" t="s">
        <v>101</v>
      </c>
      <c r="G292">
        <v>8</v>
      </c>
      <c r="H292" s="3">
        <v>7973.76</v>
      </c>
      <c r="I292" s="3">
        <v>63790.080000000002</v>
      </c>
      <c r="J292" s="3">
        <v>47457.01</v>
      </c>
      <c r="K292" s="3">
        <v>16333.07</v>
      </c>
      <c r="L292" t="s">
        <v>17</v>
      </c>
      <c r="M292" s="7">
        <f t="shared" si="4"/>
        <v>0.25604404321173446</v>
      </c>
    </row>
    <row r="293" spans="1:13" x14ac:dyDescent="0.35">
      <c r="A293" t="s">
        <v>337</v>
      </c>
      <c r="B293" s="2">
        <v>45797</v>
      </c>
      <c r="C293" t="s">
        <v>19</v>
      </c>
      <c r="D293" t="s">
        <v>44</v>
      </c>
      <c r="E293" t="s">
        <v>46</v>
      </c>
      <c r="F293" t="s">
        <v>70</v>
      </c>
      <c r="G293">
        <v>18</v>
      </c>
      <c r="H293" s="3">
        <v>2124.14</v>
      </c>
      <c r="I293" s="3">
        <v>38234.519999999997</v>
      </c>
      <c r="J293" s="3">
        <v>31606.05</v>
      </c>
      <c r="K293" s="3">
        <v>6628.47</v>
      </c>
      <c r="L293" t="s">
        <v>23</v>
      </c>
      <c r="M293" s="7">
        <f t="shared" si="4"/>
        <v>0.17336349455936678</v>
      </c>
    </row>
    <row r="294" spans="1:13" x14ac:dyDescent="0.35">
      <c r="A294" t="s">
        <v>338</v>
      </c>
      <c r="B294" s="2">
        <v>45896</v>
      </c>
      <c r="C294" t="s">
        <v>42</v>
      </c>
      <c r="D294" t="s">
        <v>20</v>
      </c>
      <c r="E294" t="s">
        <v>46</v>
      </c>
      <c r="F294" t="s">
        <v>70</v>
      </c>
      <c r="G294">
        <v>6</v>
      </c>
      <c r="H294" s="3">
        <v>2221.65</v>
      </c>
      <c r="I294" s="3">
        <v>13329.9</v>
      </c>
      <c r="J294" s="3">
        <v>10862.77</v>
      </c>
      <c r="K294" s="3">
        <v>2467.13</v>
      </c>
      <c r="L294" t="s">
        <v>17</v>
      </c>
      <c r="M294" s="7">
        <f t="shared" si="4"/>
        <v>0.18508240872024548</v>
      </c>
    </row>
    <row r="295" spans="1:13" x14ac:dyDescent="0.35">
      <c r="A295" t="s">
        <v>339</v>
      </c>
      <c r="B295" s="2">
        <v>45803</v>
      </c>
      <c r="C295" t="s">
        <v>13</v>
      </c>
      <c r="D295" t="s">
        <v>14</v>
      </c>
      <c r="E295" t="s">
        <v>46</v>
      </c>
      <c r="F295" t="s">
        <v>47</v>
      </c>
      <c r="G295">
        <v>10</v>
      </c>
      <c r="H295" s="3">
        <v>636.69000000000005</v>
      </c>
      <c r="I295" s="3">
        <v>6366.9</v>
      </c>
      <c r="J295" s="3">
        <v>4570.8900000000003</v>
      </c>
      <c r="K295" s="3">
        <v>1796.01</v>
      </c>
      <c r="L295" t="s">
        <v>23</v>
      </c>
      <c r="M295" s="7">
        <f t="shared" si="4"/>
        <v>0.28208547330726103</v>
      </c>
    </row>
    <row r="296" spans="1:13" x14ac:dyDescent="0.35">
      <c r="A296" t="s">
        <v>340</v>
      </c>
      <c r="B296" s="2">
        <v>45692</v>
      </c>
      <c r="C296" t="s">
        <v>19</v>
      </c>
      <c r="D296" t="s">
        <v>30</v>
      </c>
      <c r="E296" t="s">
        <v>21</v>
      </c>
      <c r="F296" t="s">
        <v>22</v>
      </c>
      <c r="G296">
        <v>13</v>
      </c>
      <c r="H296" s="3">
        <v>10314.620000000001</v>
      </c>
      <c r="I296" s="3">
        <v>134090.06</v>
      </c>
      <c r="J296" s="3">
        <v>108545.23</v>
      </c>
      <c r="K296" s="3">
        <v>25544.83</v>
      </c>
      <c r="L296" t="s">
        <v>52</v>
      </c>
      <c r="M296" s="7">
        <f t="shared" si="4"/>
        <v>0.19050502326570667</v>
      </c>
    </row>
    <row r="297" spans="1:13" x14ac:dyDescent="0.35">
      <c r="A297" t="s">
        <v>341</v>
      </c>
      <c r="B297" s="2">
        <v>46015</v>
      </c>
      <c r="C297" t="s">
        <v>19</v>
      </c>
      <c r="D297" t="s">
        <v>30</v>
      </c>
      <c r="E297" t="s">
        <v>26</v>
      </c>
      <c r="F297" t="s">
        <v>65</v>
      </c>
      <c r="G297">
        <v>15</v>
      </c>
      <c r="H297" s="3">
        <v>718.39</v>
      </c>
      <c r="I297" s="3">
        <v>10775.85</v>
      </c>
      <c r="J297" s="3">
        <v>7827.64</v>
      </c>
      <c r="K297" s="3">
        <v>2948.21</v>
      </c>
      <c r="L297" t="s">
        <v>17</v>
      </c>
      <c r="M297" s="7">
        <f t="shared" si="4"/>
        <v>0.27359419442549776</v>
      </c>
    </row>
    <row r="298" spans="1:13" x14ac:dyDescent="0.35">
      <c r="A298" t="s">
        <v>342</v>
      </c>
      <c r="B298" s="2">
        <v>45714</v>
      </c>
      <c r="C298" t="s">
        <v>29</v>
      </c>
      <c r="D298" t="s">
        <v>39</v>
      </c>
      <c r="E298" t="s">
        <v>21</v>
      </c>
      <c r="F298" t="s">
        <v>101</v>
      </c>
      <c r="G298">
        <v>13</v>
      </c>
      <c r="H298" s="3">
        <v>8349.7900000000009</v>
      </c>
      <c r="I298" s="3">
        <v>108547.27</v>
      </c>
      <c r="J298" s="3">
        <v>69232.52</v>
      </c>
      <c r="K298" s="3">
        <v>39314.75</v>
      </c>
      <c r="L298" t="s">
        <v>52</v>
      </c>
      <c r="M298" s="7">
        <f t="shared" si="4"/>
        <v>0.36219013154361229</v>
      </c>
    </row>
    <row r="299" spans="1:13" x14ac:dyDescent="0.35">
      <c r="A299" t="s">
        <v>343</v>
      </c>
      <c r="B299" s="2">
        <v>45769</v>
      </c>
      <c r="C299" t="s">
        <v>13</v>
      </c>
      <c r="D299" t="s">
        <v>20</v>
      </c>
      <c r="E299" t="s">
        <v>26</v>
      </c>
      <c r="F299" t="s">
        <v>49</v>
      </c>
      <c r="G299">
        <v>7</v>
      </c>
      <c r="H299" s="3">
        <v>1350.5</v>
      </c>
      <c r="I299" s="3">
        <v>9453.5</v>
      </c>
      <c r="J299" s="3">
        <v>7818.63</v>
      </c>
      <c r="K299" s="3">
        <v>1634.87</v>
      </c>
      <c r="L299" t="s">
        <v>17</v>
      </c>
      <c r="M299" s="7">
        <f t="shared" si="4"/>
        <v>0.17293806526683239</v>
      </c>
    </row>
    <row r="300" spans="1:13" x14ac:dyDescent="0.35">
      <c r="A300" t="s">
        <v>344</v>
      </c>
      <c r="B300" s="2">
        <v>46002</v>
      </c>
      <c r="C300" t="s">
        <v>29</v>
      </c>
      <c r="D300" t="s">
        <v>30</v>
      </c>
      <c r="E300" t="s">
        <v>15</v>
      </c>
      <c r="F300" t="s">
        <v>37</v>
      </c>
      <c r="G300">
        <v>5</v>
      </c>
      <c r="H300" s="3">
        <v>376.46</v>
      </c>
      <c r="I300" s="3">
        <v>1882.3</v>
      </c>
      <c r="J300" s="3">
        <v>1399.72</v>
      </c>
      <c r="K300" s="3">
        <v>482.58</v>
      </c>
      <c r="L300" t="s">
        <v>17</v>
      </c>
      <c r="M300" s="7">
        <f t="shared" si="4"/>
        <v>0.25637783562662697</v>
      </c>
    </row>
    <row r="301" spans="1:13" x14ac:dyDescent="0.35">
      <c r="A301" t="s">
        <v>345</v>
      </c>
      <c r="B301" s="2">
        <v>45791</v>
      </c>
      <c r="C301" t="s">
        <v>42</v>
      </c>
      <c r="D301" t="s">
        <v>25</v>
      </c>
      <c r="E301" t="s">
        <v>15</v>
      </c>
      <c r="F301" t="s">
        <v>37</v>
      </c>
      <c r="G301">
        <v>20</v>
      </c>
      <c r="H301" s="3">
        <v>388.29</v>
      </c>
      <c r="I301" s="3">
        <v>7765.8</v>
      </c>
      <c r="J301" s="3">
        <v>5215.3599999999997</v>
      </c>
      <c r="K301" s="3">
        <v>2550.44</v>
      </c>
      <c r="L301" t="s">
        <v>17</v>
      </c>
      <c r="M301" s="7">
        <f t="shared" si="4"/>
        <v>0.32841948028535373</v>
      </c>
    </row>
    <row r="302" spans="1:13" x14ac:dyDescent="0.35">
      <c r="A302" t="s">
        <v>346</v>
      </c>
      <c r="B302" s="2">
        <v>45886</v>
      </c>
      <c r="C302" t="s">
        <v>19</v>
      </c>
      <c r="D302" t="s">
        <v>44</v>
      </c>
      <c r="E302" t="s">
        <v>15</v>
      </c>
      <c r="F302" t="s">
        <v>34</v>
      </c>
      <c r="G302">
        <v>7</v>
      </c>
      <c r="H302" s="3">
        <v>110.38</v>
      </c>
      <c r="I302" s="3">
        <v>772.66</v>
      </c>
      <c r="J302" s="3">
        <v>534.59</v>
      </c>
      <c r="K302" s="3">
        <v>238.07</v>
      </c>
      <c r="L302" t="s">
        <v>52</v>
      </c>
      <c r="M302" s="7">
        <f t="shared" si="4"/>
        <v>0.30811741257474179</v>
      </c>
    </row>
    <row r="303" spans="1:13" x14ac:dyDescent="0.35">
      <c r="A303" t="s">
        <v>347</v>
      </c>
      <c r="B303" s="2">
        <v>45698</v>
      </c>
      <c r="C303" t="s">
        <v>13</v>
      </c>
      <c r="D303" t="s">
        <v>20</v>
      </c>
      <c r="E303" t="s">
        <v>21</v>
      </c>
      <c r="F303" t="s">
        <v>101</v>
      </c>
      <c r="G303">
        <v>13</v>
      </c>
      <c r="H303" s="3">
        <v>8812.4599999999991</v>
      </c>
      <c r="I303" s="3">
        <v>114561.98</v>
      </c>
      <c r="J303" s="3">
        <v>73049.47</v>
      </c>
      <c r="K303" s="3">
        <v>41512.51</v>
      </c>
      <c r="L303" t="s">
        <v>17</v>
      </c>
      <c r="M303" s="7">
        <f t="shared" si="4"/>
        <v>0.36235852418053532</v>
      </c>
    </row>
    <row r="304" spans="1:13" x14ac:dyDescent="0.35">
      <c r="A304" t="s">
        <v>348</v>
      </c>
      <c r="B304" s="2">
        <v>45733</v>
      </c>
      <c r="C304" t="s">
        <v>13</v>
      </c>
      <c r="D304" t="s">
        <v>33</v>
      </c>
      <c r="E304" t="s">
        <v>15</v>
      </c>
      <c r="F304" t="s">
        <v>34</v>
      </c>
      <c r="G304">
        <v>6</v>
      </c>
      <c r="H304" s="3">
        <v>116.14</v>
      </c>
      <c r="I304" s="3">
        <v>696.84</v>
      </c>
      <c r="J304" s="3">
        <v>522.80999999999995</v>
      </c>
      <c r="K304" s="3">
        <v>174.03</v>
      </c>
      <c r="L304" t="s">
        <v>52</v>
      </c>
      <c r="M304" s="7">
        <f t="shared" si="4"/>
        <v>0.24974169106251076</v>
      </c>
    </row>
    <row r="305" spans="1:13" x14ac:dyDescent="0.35">
      <c r="A305" t="s">
        <v>349</v>
      </c>
      <c r="B305" s="2">
        <v>45952</v>
      </c>
      <c r="C305" t="s">
        <v>42</v>
      </c>
      <c r="D305" t="s">
        <v>68</v>
      </c>
      <c r="E305" t="s">
        <v>26</v>
      </c>
      <c r="F305" t="s">
        <v>31</v>
      </c>
      <c r="G305">
        <v>9</v>
      </c>
      <c r="H305" s="3">
        <v>42050.91</v>
      </c>
      <c r="I305" s="3">
        <v>378458.19</v>
      </c>
      <c r="J305" s="3">
        <v>265027.28999999998</v>
      </c>
      <c r="K305" s="3">
        <v>113430.9</v>
      </c>
      <c r="L305" t="s">
        <v>52</v>
      </c>
      <c r="M305" s="7">
        <f t="shared" si="4"/>
        <v>0.29971844446013968</v>
      </c>
    </row>
    <row r="306" spans="1:13" x14ac:dyDescent="0.35">
      <c r="A306" t="s">
        <v>350</v>
      </c>
      <c r="B306" s="2">
        <v>45686</v>
      </c>
      <c r="C306" t="s">
        <v>42</v>
      </c>
      <c r="D306" t="s">
        <v>44</v>
      </c>
      <c r="E306" t="s">
        <v>15</v>
      </c>
      <c r="F306" t="s">
        <v>37</v>
      </c>
      <c r="G306">
        <v>17</v>
      </c>
      <c r="H306" s="3">
        <v>372.7</v>
      </c>
      <c r="I306" s="3">
        <v>6335.9</v>
      </c>
      <c r="J306" s="3">
        <v>4534.2299999999996</v>
      </c>
      <c r="K306" s="3">
        <v>1801.67</v>
      </c>
      <c r="L306" t="s">
        <v>52</v>
      </c>
      <c r="M306" s="7">
        <f t="shared" si="4"/>
        <v>0.28435897031203144</v>
      </c>
    </row>
    <row r="307" spans="1:13" x14ac:dyDescent="0.35">
      <c r="A307" t="s">
        <v>351</v>
      </c>
      <c r="B307" s="2">
        <v>45894</v>
      </c>
      <c r="C307" t="s">
        <v>13</v>
      </c>
      <c r="D307" t="s">
        <v>54</v>
      </c>
      <c r="E307" t="s">
        <v>26</v>
      </c>
      <c r="F307" t="s">
        <v>49</v>
      </c>
      <c r="G307">
        <v>19</v>
      </c>
      <c r="H307" s="3">
        <v>1620.11</v>
      </c>
      <c r="I307" s="3">
        <v>30782.09</v>
      </c>
      <c r="J307" s="3">
        <v>23649.94</v>
      </c>
      <c r="K307" s="3">
        <v>7132.15</v>
      </c>
      <c r="L307" t="s">
        <v>17</v>
      </c>
      <c r="M307" s="7">
        <f t="shared" si="4"/>
        <v>0.23169804259554824</v>
      </c>
    </row>
    <row r="308" spans="1:13" x14ac:dyDescent="0.35">
      <c r="A308" t="s">
        <v>352</v>
      </c>
      <c r="B308" s="2">
        <v>45805</v>
      </c>
      <c r="C308" t="s">
        <v>19</v>
      </c>
      <c r="D308" t="s">
        <v>20</v>
      </c>
      <c r="E308" t="s">
        <v>21</v>
      </c>
      <c r="F308" t="s">
        <v>101</v>
      </c>
      <c r="G308">
        <v>4</v>
      </c>
      <c r="H308" s="3">
        <v>8953.76</v>
      </c>
      <c r="I308" s="3">
        <v>35815.040000000001</v>
      </c>
      <c r="J308" s="3">
        <v>27168.240000000002</v>
      </c>
      <c r="K308" s="3">
        <v>8646.7999999999993</v>
      </c>
      <c r="L308" t="s">
        <v>52</v>
      </c>
      <c r="M308" s="7">
        <f t="shared" si="4"/>
        <v>0.2414292989760726</v>
      </c>
    </row>
    <row r="309" spans="1:13" x14ac:dyDescent="0.35">
      <c r="A309" t="s">
        <v>353</v>
      </c>
      <c r="B309" s="2">
        <v>45950</v>
      </c>
      <c r="C309" t="s">
        <v>29</v>
      </c>
      <c r="D309" t="s">
        <v>14</v>
      </c>
      <c r="E309" t="s">
        <v>15</v>
      </c>
      <c r="F309" t="s">
        <v>37</v>
      </c>
      <c r="G309">
        <v>10</v>
      </c>
      <c r="H309" s="3">
        <v>368.87</v>
      </c>
      <c r="I309" s="3">
        <v>3688.7</v>
      </c>
      <c r="J309" s="3">
        <v>2825.62</v>
      </c>
      <c r="K309" s="3">
        <v>863.08</v>
      </c>
      <c r="L309" t="s">
        <v>17</v>
      </c>
      <c r="M309" s="7">
        <f t="shared" si="4"/>
        <v>0.23397945075500856</v>
      </c>
    </row>
    <row r="310" spans="1:13" x14ac:dyDescent="0.35">
      <c r="A310" t="s">
        <v>354</v>
      </c>
      <c r="B310" s="2">
        <v>45849</v>
      </c>
      <c r="C310" t="s">
        <v>29</v>
      </c>
      <c r="D310" t="s">
        <v>30</v>
      </c>
      <c r="E310" t="s">
        <v>15</v>
      </c>
      <c r="F310" t="s">
        <v>34</v>
      </c>
      <c r="G310">
        <v>4</v>
      </c>
      <c r="H310" s="3">
        <v>111</v>
      </c>
      <c r="I310" s="3">
        <v>444</v>
      </c>
      <c r="J310" s="3">
        <v>290.22000000000003</v>
      </c>
      <c r="K310" s="3">
        <v>153.78</v>
      </c>
      <c r="L310" t="s">
        <v>23</v>
      </c>
      <c r="M310" s="7">
        <f t="shared" si="4"/>
        <v>0.34635135135135137</v>
      </c>
    </row>
    <row r="311" spans="1:13" x14ac:dyDescent="0.35">
      <c r="A311" t="s">
        <v>355</v>
      </c>
      <c r="B311" s="2">
        <v>45974</v>
      </c>
      <c r="C311" t="s">
        <v>29</v>
      </c>
      <c r="D311" t="s">
        <v>36</v>
      </c>
      <c r="E311" t="s">
        <v>21</v>
      </c>
      <c r="F311" t="s">
        <v>101</v>
      </c>
      <c r="G311">
        <v>10</v>
      </c>
      <c r="H311" s="3">
        <v>8580.7900000000009</v>
      </c>
      <c r="I311" s="3">
        <v>85807.9</v>
      </c>
      <c r="J311" s="3">
        <v>54641.29</v>
      </c>
      <c r="K311" s="3">
        <v>31166.61</v>
      </c>
      <c r="L311" t="s">
        <v>23</v>
      </c>
      <c r="M311" s="7">
        <f t="shared" si="4"/>
        <v>0.36321376003841144</v>
      </c>
    </row>
    <row r="312" spans="1:13" x14ac:dyDescent="0.35">
      <c r="A312" t="s">
        <v>356</v>
      </c>
      <c r="B312" s="2">
        <v>45895</v>
      </c>
      <c r="C312" t="s">
        <v>19</v>
      </c>
      <c r="D312" t="s">
        <v>44</v>
      </c>
      <c r="E312" t="s">
        <v>21</v>
      </c>
      <c r="F312" t="s">
        <v>22</v>
      </c>
      <c r="G312">
        <v>20</v>
      </c>
      <c r="H312" s="3">
        <v>9974.2199999999993</v>
      </c>
      <c r="I312" s="3">
        <v>199484.4</v>
      </c>
      <c r="J312" s="3">
        <v>154325.66</v>
      </c>
      <c r="K312" s="3">
        <v>45158.74</v>
      </c>
      <c r="L312" t="s">
        <v>17</v>
      </c>
      <c r="M312" s="7">
        <f t="shared" si="4"/>
        <v>0.22637730068115602</v>
      </c>
    </row>
    <row r="313" spans="1:13" x14ac:dyDescent="0.35">
      <c r="A313" t="s">
        <v>357</v>
      </c>
      <c r="B313" s="2">
        <v>45703</v>
      </c>
      <c r="C313" t="s">
        <v>13</v>
      </c>
      <c r="D313" t="s">
        <v>39</v>
      </c>
      <c r="E313" t="s">
        <v>15</v>
      </c>
      <c r="F313" t="s">
        <v>37</v>
      </c>
      <c r="G313">
        <v>7</v>
      </c>
      <c r="H313" s="3">
        <v>362.62</v>
      </c>
      <c r="I313" s="3">
        <v>2538.34</v>
      </c>
      <c r="J313" s="3">
        <v>1695.35</v>
      </c>
      <c r="K313" s="3">
        <v>842.99</v>
      </c>
      <c r="L313" t="s">
        <v>17</v>
      </c>
      <c r="M313" s="7">
        <f t="shared" si="4"/>
        <v>0.33210287037985453</v>
      </c>
    </row>
    <row r="314" spans="1:13" x14ac:dyDescent="0.35">
      <c r="A314" t="s">
        <v>358</v>
      </c>
      <c r="B314" s="2">
        <v>45989</v>
      </c>
      <c r="C314" t="s">
        <v>19</v>
      </c>
      <c r="D314" t="s">
        <v>33</v>
      </c>
      <c r="E314" t="s">
        <v>46</v>
      </c>
      <c r="F314" t="s">
        <v>70</v>
      </c>
      <c r="G314">
        <v>6</v>
      </c>
      <c r="H314" s="3">
        <v>2120.2399999999998</v>
      </c>
      <c r="I314" s="3">
        <v>12721.44</v>
      </c>
      <c r="J314" s="3">
        <v>10222.9</v>
      </c>
      <c r="K314" s="3">
        <v>2498.54</v>
      </c>
      <c r="L314" t="s">
        <v>17</v>
      </c>
      <c r="M314" s="7">
        <f t="shared" si="4"/>
        <v>0.19640386622898034</v>
      </c>
    </row>
    <row r="315" spans="1:13" x14ac:dyDescent="0.35">
      <c r="A315" t="s">
        <v>359</v>
      </c>
      <c r="B315" s="2">
        <v>45971</v>
      </c>
      <c r="C315" t="s">
        <v>13</v>
      </c>
      <c r="D315" t="s">
        <v>54</v>
      </c>
      <c r="E315" t="s">
        <v>26</v>
      </c>
      <c r="F315" t="s">
        <v>65</v>
      </c>
      <c r="G315">
        <v>2</v>
      </c>
      <c r="H315" s="3">
        <v>732.74</v>
      </c>
      <c r="I315" s="3">
        <v>1465.48</v>
      </c>
      <c r="J315" s="3">
        <v>1220</v>
      </c>
      <c r="K315" s="3">
        <v>245.48</v>
      </c>
      <c r="L315" t="s">
        <v>52</v>
      </c>
      <c r="M315" s="7">
        <f t="shared" si="4"/>
        <v>0.16750825668040503</v>
      </c>
    </row>
    <row r="316" spans="1:13" x14ac:dyDescent="0.35">
      <c r="A316" t="s">
        <v>360</v>
      </c>
      <c r="B316" s="2">
        <v>45843</v>
      </c>
      <c r="C316" t="s">
        <v>29</v>
      </c>
      <c r="D316" t="s">
        <v>30</v>
      </c>
      <c r="E316" t="s">
        <v>21</v>
      </c>
      <c r="F316" t="s">
        <v>22</v>
      </c>
      <c r="G316">
        <v>13</v>
      </c>
      <c r="H316" s="3">
        <v>11213.14</v>
      </c>
      <c r="I316" s="3">
        <v>145770.82</v>
      </c>
      <c r="J316" s="3">
        <v>100475.44</v>
      </c>
      <c r="K316" s="3">
        <v>45295.38</v>
      </c>
      <c r="L316" t="s">
        <v>52</v>
      </c>
      <c r="M316" s="7">
        <f t="shared" si="4"/>
        <v>0.3107300898766982</v>
      </c>
    </row>
    <row r="317" spans="1:13" x14ac:dyDescent="0.35">
      <c r="A317" t="s">
        <v>361</v>
      </c>
      <c r="B317" s="2">
        <v>45721</v>
      </c>
      <c r="C317" t="s">
        <v>19</v>
      </c>
      <c r="D317" t="s">
        <v>14</v>
      </c>
      <c r="E317" t="s">
        <v>26</v>
      </c>
      <c r="F317" t="s">
        <v>49</v>
      </c>
      <c r="G317">
        <v>10</v>
      </c>
      <c r="H317" s="3">
        <v>1429.11</v>
      </c>
      <c r="I317" s="3">
        <v>14291.1</v>
      </c>
      <c r="J317" s="3">
        <v>9676.77</v>
      </c>
      <c r="K317" s="3">
        <v>4614.33</v>
      </c>
      <c r="L317" t="s">
        <v>23</v>
      </c>
      <c r="M317" s="7">
        <f t="shared" si="4"/>
        <v>0.32288137372210673</v>
      </c>
    </row>
    <row r="318" spans="1:13" x14ac:dyDescent="0.35">
      <c r="A318" t="s">
        <v>362</v>
      </c>
      <c r="B318" s="2">
        <v>45685</v>
      </c>
      <c r="C318" t="s">
        <v>13</v>
      </c>
      <c r="D318" t="s">
        <v>36</v>
      </c>
      <c r="E318" t="s">
        <v>15</v>
      </c>
      <c r="F318" t="s">
        <v>37</v>
      </c>
      <c r="G318">
        <v>16</v>
      </c>
      <c r="H318" s="3">
        <v>337.27</v>
      </c>
      <c r="I318" s="3">
        <v>5396.32</v>
      </c>
      <c r="J318" s="3">
        <v>4376.37</v>
      </c>
      <c r="K318" s="3">
        <v>1019.95</v>
      </c>
      <c r="L318" t="s">
        <v>52</v>
      </c>
      <c r="M318" s="7">
        <f t="shared" si="4"/>
        <v>0.18900843537818368</v>
      </c>
    </row>
    <row r="319" spans="1:13" x14ac:dyDescent="0.35">
      <c r="A319" t="s">
        <v>363</v>
      </c>
      <c r="B319" s="2">
        <v>45807</v>
      </c>
      <c r="C319" t="s">
        <v>29</v>
      </c>
      <c r="D319" t="s">
        <v>54</v>
      </c>
      <c r="E319" t="s">
        <v>21</v>
      </c>
      <c r="F319" t="s">
        <v>101</v>
      </c>
      <c r="G319">
        <v>6</v>
      </c>
      <c r="H319" s="3">
        <v>8192.8700000000008</v>
      </c>
      <c r="I319" s="3">
        <v>49157.22</v>
      </c>
      <c r="J319" s="3">
        <v>41846.43</v>
      </c>
      <c r="K319" s="3">
        <v>7310.79</v>
      </c>
      <c r="L319" t="s">
        <v>52</v>
      </c>
      <c r="M319" s="7">
        <f t="shared" si="4"/>
        <v>0.14872260880497309</v>
      </c>
    </row>
    <row r="320" spans="1:13" x14ac:dyDescent="0.35">
      <c r="A320" t="s">
        <v>364</v>
      </c>
      <c r="B320" s="2">
        <v>45720</v>
      </c>
      <c r="C320" t="s">
        <v>29</v>
      </c>
      <c r="D320" t="s">
        <v>33</v>
      </c>
      <c r="E320" t="s">
        <v>15</v>
      </c>
      <c r="F320" t="s">
        <v>37</v>
      </c>
      <c r="G320">
        <v>16</v>
      </c>
      <c r="H320" s="3">
        <v>370.18</v>
      </c>
      <c r="I320" s="3">
        <v>5922.88</v>
      </c>
      <c r="J320" s="3">
        <v>4061.61</v>
      </c>
      <c r="K320" s="3">
        <v>1861.27</v>
      </c>
      <c r="L320" t="s">
        <v>17</v>
      </c>
      <c r="M320" s="7">
        <f t="shared" si="4"/>
        <v>0.31425083743043924</v>
      </c>
    </row>
    <row r="321" spans="1:13" x14ac:dyDescent="0.35">
      <c r="A321" t="s">
        <v>365</v>
      </c>
      <c r="B321" s="2">
        <v>45669</v>
      </c>
      <c r="C321" t="s">
        <v>29</v>
      </c>
      <c r="D321" t="s">
        <v>44</v>
      </c>
      <c r="E321" t="s">
        <v>21</v>
      </c>
      <c r="F321" t="s">
        <v>101</v>
      </c>
      <c r="G321">
        <v>3</v>
      </c>
      <c r="H321" s="3">
        <v>8693.14</v>
      </c>
      <c r="I321" s="3">
        <v>26079.42</v>
      </c>
      <c r="J321" s="3">
        <v>21043.35</v>
      </c>
      <c r="K321" s="3">
        <v>5036.07</v>
      </c>
      <c r="L321" t="s">
        <v>52</v>
      </c>
      <c r="M321" s="7">
        <f t="shared" si="4"/>
        <v>0.1931051380743897</v>
      </c>
    </row>
    <row r="322" spans="1:13" x14ac:dyDescent="0.35">
      <c r="A322" t="s">
        <v>366</v>
      </c>
      <c r="B322" s="2">
        <v>45724</v>
      </c>
      <c r="C322" t="s">
        <v>19</v>
      </c>
      <c r="D322" t="s">
        <v>44</v>
      </c>
      <c r="E322" t="s">
        <v>46</v>
      </c>
      <c r="F322" t="s">
        <v>70</v>
      </c>
      <c r="G322">
        <v>17</v>
      </c>
      <c r="H322" s="3">
        <v>2119.5500000000002</v>
      </c>
      <c r="I322" s="3">
        <v>36032.35</v>
      </c>
      <c r="J322" s="3">
        <v>26329.07</v>
      </c>
      <c r="K322" s="3">
        <v>9703.2800000000007</v>
      </c>
      <c r="L322" t="s">
        <v>17</v>
      </c>
      <c r="M322" s="7">
        <f t="shared" ref="M322:M385" si="5">K322/I322</f>
        <v>0.26929356536556737</v>
      </c>
    </row>
    <row r="323" spans="1:13" x14ac:dyDescent="0.35">
      <c r="A323" t="s">
        <v>367</v>
      </c>
      <c r="B323" s="2">
        <v>45953</v>
      </c>
      <c r="C323" t="s">
        <v>19</v>
      </c>
      <c r="D323" t="s">
        <v>33</v>
      </c>
      <c r="E323" t="s">
        <v>26</v>
      </c>
      <c r="F323" t="s">
        <v>49</v>
      </c>
      <c r="G323">
        <v>10</v>
      </c>
      <c r="H323" s="3">
        <v>1354.7</v>
      </c>
      <c r="I323" s="3">
        <v>13547</v>
      </c>
      <c r="J323" s="3">
        <v>8981.7199999999993</v>
      </c>
      <c r="K323" s="3">
        <v>4565.28</v>
      </c>
      <c r="L323" t="s">
        <v>23</v>
      </c>
      <c r="M323" s="7">
        <f t="shared" si="5"/>
        <v>0.3369956447922049</v>
      </c>
    </row>
    <row r="324" spans="1:13" x14ac:dyDescent="0.35">
      <c r="A324" t="s">
        <v>368</v>
      </c>
      <c r="B324" s="2">
        <v>45750</v>
      </c>
      <c r="C324" t="s">
        <v>19</v>
      </c>
      <c r="D324" t="s">
        <v>14</v>
      </c>
      <c r="E324" t="s">
        <v>21</v>
      </c>
      <c r="F324" t="s">
        <v>63</v>
      </c>
      <c r="G324">
        <v>5</v>
      </c>
      <c r="H324" s="3">
        <v>6294.9</v>
      </c>
      <c r="I324" s="3">
        <v>31474.5</v>
      </c>
      <c r="J324" s="3">
        <v>20169.36</v>
      </c>
      <c r="K324" s="3">
        <v>11305.14</v>
      </c>
      <c r="L324" t="s">
        <v>17</v>
      </c>
      <c r="M324" s="7">
        <f t="shared" si="5"/>
        <v>0.3591841014154315</v>
      </c>
    </row>
    <row r="325" spans="1:13" x14ac:dyDescent="0.35">
      <c r="A325" t="s">
        <v>369</v>
      </c>
      <c r="B325" s="2">
        <v>45707</v>
      </c>
      <c r="C325" t="s">
        <v>19</v>
      </c>
      <c r="D325" t="s">
        <v>30</v>
      </c>
      <c r="E325" t="s">
        <v>46</v>
      </c>
      <c r="F325" t="s">
        <v>47</v>
      </c>
      <c r="G325">
        <v>14</v>
      </c>
      <c r="H325" s="3">
        <v>614.02</v>
      </c>
      <c r="I325" s="3">
        <v>8596.2800000000007</v>
      </c>
      <c r="J325" s="3">
        <v>7240.92</v>
      </c>
      <c r="K325" s="3">
        <v>1355.36</v>
      </c>
      <c r="L325" t="s">
        <v>23</v>
      </c>
      <c r="M325" s="7">
        <f t="shared" si="5"/>
        <v>0.15766820066354281</v>
      </c>
    </row>
    <row r="326" spans="1:13" x14ac:dyDescent="0.35">
      <c r="A326" t="s">
        <v>370</v>
      </c>
      <c r="B326" s="2">
        <v>45927</v>
      </c>
      <c r="C326" t="s">
        <v>19</v>
      </c>
      <c r="D326" t="s">
        <v>20</v>
      </c>
      <c r="E326" t="s">
        <v>15</v>
      </c>
      <c r="F326" t="s">
        <v>37</v>
      </c>
      <c r="G326">
        <v>14</v>
      </c>
      <c r="H326" s="3">
        <v>377.45</v>
      </c>
      <c r="I326" s="3">
        <v>5284.3</v>
      </c>
      <c r="J326" s="3">
        <v>4286.13</v>
      </c>
      <c r="K326" s="3">
        <v>998.17</v>
      </c>
      <c r="L326" t="s">
        <v>17</v>
      </c>
      <c r="M326" s="7">
        <f t="shared" si="5"/>
        <v>0.18889351475124425</v>
      </c>
    </row>
    <row r="327" spans="1:13" x14ac:dyDescent="0.35">
      <c r="A327" t="s">
        <v>371</v>
      </c>
      <c r="B327" s="2">
        <v>45769</v>
      </c>
      <c r="C327" t="s">
        <v>19</v>
      </c>
      <c r="D327" t="s">
        <v>20</v>
      </c>
      <c r="E327" t="s">
        <v>46</v>
      </c>
      <c r="F327" t="s">
        <v>70</v>
      </c>
      <c r="G327">
        <v>19</v>
      </c>
      <c r="H327" s="3">
        <v>2240.92</v>
      </c>
      <c r="I327" s="3">
        <v>42577.48</v>
      </c>
      <c r="J327" s="3">
        <v>28906.18</v>
      </c>
      <c r="K327" s="3">
        <v>13671.3</v>
      </c>
      <c r="L327" t="s">
        <v>52</v>
      </c>
      <c r="M327" s="7">
        <f t="shared" si="5"/>
        <v>0.32109227695016235</v>
      </c>
    </row>
    <row r="328" spans="1:13" x14ac:dyDescent="0.35">
      <c r="A328" t="s">
        <v>372</v>
      </c>
      <c r="B328" s="2">
        <v>45786</v>
      </c>
      <c r="C328" t="s">
        <v>19</v>
      </c>
      <c r="D328" t="s">
        <v>44</v>
      </c>
      <c r="E328" t="s">
        <v>15</v>
      </c>
      <c r="F328" t="s">
        <v>37</v>
      </c>
      <c r="G328">
        <v>4</v>
      </c>
      <c r="H328" s="3">
        <v>354.82</v>
      </c>
      <c r="I328" s="3">
        <v>1419.28</v>
      </c>
      <c r="J328" s="3">
        <v>1089.6099999999999</v>
      </c>
      <c r="K328" s="3">
        <v>329.67</v>
      </c>
      <c r="L328" t="s">
        <v>17</v>
      </c>
      <c r="M328" s="7">
        <f t="shared" si="5"/>
        <v>0.23227974747759428</v>
      </c>
    </row>
    <row r="329" spans="1:13" x14ac:dyDescent="0.35">
      <c r="A329" t="s">
        <v>373</v>
      </c>
      <c r="B329" s="2">
        <v>45701</v>
      </c>
      <c r="C329" t="s">
        <v>42</v>
      </c>
      <c r="D329" t="s">
        <v>36</v>
      </c>
      <c r="E329" t="s">
        <v>26</v>
      </c>
      <c r="F329" t="s">
        <v>65</v>
      </c>
      <c r="G329">
        <v>12</v>
      </c>
      <c r="H329" s="3">
        <v>766.96</v>
      </c>
      <c r="I329" s="3">
        <v>9203.52</v>
      </c>
      <c r="J329" s="3">
        <v>7711.68</v>
      </c>
      <c r="K329" s="3">
        <v>1491.84</v>
      </c>
      <c r="L329" t="s">
        <v>23</v>
      </c>
      <c r="M329" s="7">
        <f t="shared" si="5"/>
        <v>0.16209450297277561</v>
      </c>
    </row>
    <row r="330" spans="1:13" x14ac:dyDescent="0.35">
      <c r="A330" t="s">
        <v>374</v>
      </c>
      <c r="B330" s="2">
        <v>45915</v>
      </c>
      <c r="C330" t="s">
        <v>29</v>
      </c>
      <c r="D330" t="s">
        <v>54</v>
      </c>
      <c r="E330" t="s">
        <v>21</v>
      </c>
      <c r="F330" t="s">
        <v>22</v>
      </c>
      <c r="G330">
        <v>19</v>
      </c>
      <c r="H330" s="3">
        <v>10167.35</v>
      </c>
      <c r="I330" s="3">
        <v>193179.65</v>
      </c>
      <c r="J330" s="3">
        <v>162265.99</v>
      </c>
      <c r="K330" s="3">
        <v>30913.66</v>
      </c>
      <c r="L330" t="s">
        <v>17</v>
      </c>
      <c r="M330" s="7">
        <f t="shared" si="5"/>
        <v>0.16002544781502606</v>
      </c>
    </row>
    <row r="331" spans="1:13" x14ac:dyDescent="0.35">
      <c r="A331" t="s">
        <v>375</v>
      </c>
      <c r="B331" s="2">
        <v>45920</v>
      </c>
      <c r="C331" t="s">
        <v>13</v>
      </c>
      <c r="D331" t="s">
        <v>25</v>
      </c>
      <c r="E331" t="s">
        <v>26</v>
      </c>
      <c r="F331" t="s">
        <v>65</v>
      </c>
      <c r="G331">
        <v>13</v>
      </c>
      <c r="H331" s="3">
        <v>680.2</v>
      </c>
      <c r="I331" s="3">
        <v>8842.6</v>
      </c>
      <c r="J331" s="3">
        <v>7377.4</v>
      </c>
      <c r="K331" s="3">
        <v>1465.2</v>
      </c>
      <c r="L331" t="s">
        <v>52</v>
      </c>
      <c r="M331" s="7">
        <f t="shared" si="5"/>
        <v>0.16569787166670435</v>
      </c>
    </row>
    <row r="332" spans="1:13" x14ac:dyDescent="0.35">
      <c r="A332" t="s">
        <v>376</v>
      </c>
      <c r="B332" s="2">
        <v>45677</v>
      </c>
      <c r="C332" t="s">
        <v>19</v>
      </c>
      <c r="D332" t="s">
        <v>33</v>
      </c>
      <c r="E332" t="s">
        <v>46</v>
      </c>
      <c r="F332" t="s">
        <v>70</v>
      </c>
      <c r="G332">
        <v>4</v>
      </c>
      <c r="H332" s="3">
        <v>2107.86</v>
      </c>
      <c r="I332" s="3">
        <v>8431.44</v>
      </c>
      <c r="J332" s="3">
        <v>5895.75</v>
      </c>
      <c r="K332" s="3">
        <v>2535.69</v>
      </c>
      <c r="L332" t="s">
        <v>23</v>
      </c>
      <c r="M332" s="7">
        <f t="shared" si="5"/>
        <v>0.30074222196920097</v>
      </c>
    </row>
    <row r="333" spans="1:13" x14ac:dyDescent="0.35">
      <c r="A333" t="s">
        <v>377</v>
      </c>
      <c r="B333" s="2">
        <v>45979</v>
      </c>
      <c r="C333" t="s">
        <v>19</v>
      </c>
      <c r="D333" t="s">
        <v>39</v>
      </c>
      <c r="E333" t="s">
        <v>26</v>
      </c>
      <c r="F333" t="s">
        <v>65</v>
      </c>
      <c r="G333">
        <v>19</v>
      </c>
      <c r="H333" s="3">
        <v>782.09</v>
      </c>
      <c r="I333" s="3">
        <v>14859.71</v>
      </c>
      <c r="J333" s="3">
        <v>12021.6</v>
      </c>
      <c r="K333" s="3">
        <v>2838.11</v>
      </c>
      <c r="L333" t="s">
        <v>52</v>
      </c>
      <c r="M333" s="7">
        <f t="shared" si="5"/>
        <v>0.1909936331193543</v>
      </c>
    </row>
    <row r="334" spans="1:13" x14ac:dyDescent="0.35">
      <c r="A334" t="s">
        <v>378</v>
      </c>
      <c r="B334" s="2">
        <v>45801</v>
      </c>
      <c r="C334" t="s">
        <v>19</v>
      </c>
      <c r="D334" t="s">
        <v>14</v>
      </c>
      <c r="E334" t="s">
        <v>46</v>
      </c>
      <c r="F334" t="s">
        <v>47</v>
      </c>
      <c r="G334">
        <v>7</v>
      </c>
      <c r="H334" s="3">
        <v>571.98</v>
      </c>
      <c r="I334" s="3">
        <v>4003.86</v>
      </c>
      <c r="J334" s="3">
        <v>2499.2800000000002</v>
      </c>
      <c r="K334" s="3">
        <v>1504.58</v>
      </c>
      <c r="L334" t="s">
        <v>17</v>
      </c>
      <c r="M334" s="7">
        <f t="shared" si="5"/>
        <v>0.37578237001293746</v>
      </c>
    </row>
    <row r="335" spans="1:13" x14ac:dyDescent="0.35">
      <c r="A335" t="s">
        <v>379</v>
      </c>
      <c r="B335" s="2">
        <v>46015</v>
      </c>
      <c r="C335" t="s">
        <v>29</v>
      </c>
      <c r="D335" t="s">
        <v>33</v>
      </c>
      <c r="E335" t="s">
        <v>21</v>
      </c>
      <c r="F335" t="s">
        <v>101</v>
      </c>
      <c r="G335">
        <v>18</v>
      </c>
      <c r="H335" s="3">
        <v>7591.87</v>
      </c>
      <c r="I335" s="3">
        <v>136653.66</v>
      </c>
      <c r="J335" s="3">
        <v>98223.46</v>
      </c>
      <c r="K335" s="3">
        <v>38430.199999999997</v>
      </c>
      <c r="L335" t="s">
        <v>17</v>
      </c>
      <c r="M335" s="7">
        <f t="shared" si="5"/>
        <v>0.28122334959780804</v>
      </c>
    </row>
    <row r="336" spans="1:13" x14ac:dyDescent="0.35">
      <c r="A336" t="s">
        <v>380</v>
      </c>
      <c r="B336" s="2">
        <v>45892</v>
      </c>
      <c r="C336" t="s">
        <v>42</v>
      </c>
      <c r="D336" t="s">
        <v>14</v>
      </c>
      <c r="E336" t="s">
        <v>26</v>
      </c>
      <c r="F336" t="s">
        <v>65</v>
      </c>
      <c r="G336">
        <v>18</v>
      </c>
      <c r="H336" s="3">
        <v>718.56</v>
      </c>
      <c r="I336" s="3">
        <v>12934.08</v>
      </c>
      <c r="J336" s="3">
        <v>9708.15</v>
      </c>
      <c r="K336" s="3">
        <v>3225.93</v>
      </c>
      <c r="L336" t="s">
        <v>52</v>
      </c>
      <c r="M336" s="7">
        <f t="shared" si="5"/>
        <v>0.24941317820826839</v>
      </c>
    </row>
    <row r="337" spans="1:13" x14ac:dyDescent="0.35">
      <c r="A337" t="s">
        <v>381</v>
      </c>
      <c r="B337" s="2">
        <v>45787</v>
      </c>
      <c r="C337" t="s">
        <v>42</v>
      </c>
      <c r="D337" t="s">
        <v>30</v>
      </c>
      <c r="E337" t="s">
        <v>15</v>
      </c>
      <c r="F337" t="s">
        <v>34</v>
      </c>
      <c r="G337">
        <v>12</v>
      </c>
      <c r="H337" s="3">
        <v>129.91</v>
      </c>
      <c r="I337" s="3">
        <v>1558.92</v>
      </c>
      <c r="J337" s="3">
        <v>1010.16</v>
      </c>
      <c r="K337" s="3">
        <v>548.76</v>
      </c>
      <c r="L337" t="s">
        <v>52</v>
      </c>
      <c r="M337" s="7">
        <f t="shared" si="5"/>
        <v>0.35201293202986683</v>
      </c>
    </row>
    <row r="338" spans="1:13" x14ac:dyDescent="0.35">
      <c r="A338" t="s">
        <v>382</v>
      </c>
      <c r="B338" s="2">
        <v>45749</v>
      </c>
      <c r="C338" t="s">
        <v>13</v>
      </c>
      <c r="D338" t="s">
        <v>30</v>
      </c>
      <c r="E338" t="s">
        <v>26</v>
      </c>
      <c r="F338" t="s">
        <v>65</v>
      </c>
      <c r="G338">
        <v>6</v>
      </c>
      <c r="H338" s="3">
        <v>630.27</v>
      </c>
      <c r="I338" s="3">
        <v>3781.62</v>
      </c>
      <c r="J338" s="3">
        <v>2754.96</v>
      </c>
      <c r="K338" s="3">
        <v>1026.6600000000001</v>
      </c>
      <c r="L338" t="s">
        <v>52</v>
      </c>
      <c r="M338" s="7">
        <f t="shared" si="5"/>
        <v>0.27148682310755712</v>
      </c>
    </row>
    <row r="339" spans="1:13" x14ac:dyDescent="0.35">
      <c r="A339" t="s">
        <v>383</v>
      </c>
      <c r="B339" s="2">
        <v>45726</v>
      </c>
      <c r="C339" t="s">
        <v>29</v>
      </c>
      <c r="D339" t="s">
        <v>33</v>
      </c>
      <c r="E339" t="s">
        <v>46</v>
      </c>
      <c r="F339" t="s">
        <v>51</v>
      </c>
      <c r="G339">
        <v>11</v>
      </c>
      <c r="H339" s="3">
        <v>3171.97</v>
      </c>
      <c r="I339" s="3">
        <v>34891.67</v>
      </c>
      <c r="J339" s="3">
        <v>29133.27</v>
      </c>
      <c r="K339" s="3">
        <v>5758.4</v>
      </c>
      <c r="L339" t="s">
        <v>52</v>
      </c>
      <c r="M339" s="7">
        <f t="shared" si="5"/>
        <v>0.16503652591005247</v>
      </c>
    </row>
    <row r="340" spans="1:13" x14ac:dyDescent="0.35">
      <c r="A340" t="s">
        <v>384</v>
      </c>
      <c r="B340" s="2">
        <v>45783</v>
      </c>
      <c r="C340" t="s">
        <v>42</v>
      </c>
      <c r="D340" t="s">
        <v>54</v>
      </c>
      <c r="E340" t="s">
        <v>21</v>
      </c>
      <c r="F340" t="s">
        <v>63</v>
      </c>
      <c r="G340">
        <v>18</v>
      </c>
      <c r="H340" s="3">
        <v>6834.84</v>
      </c>
      <c r="I340" s="3">
        <v>123027.12</v>
      </c>
      <c r="J340" s="3">
        <v>82455.55</v>
      </c>
      <c r="K340" s="3">
        <v>40571.57</v>
      </c>
      <c r="L340" t="s">
        <v>17</v>
      </c>
      <c r="M340" s="7">
        <f t="shared" si="5"/>
        <v>0.32977745069542391</v>
      </c>
    </row>
    <row r="341" spans="1:13" x14ac:dyDescent="0.35">
      <c r="A341" t="s">
        <v>385</v>
      </c>
      <c r="B341" s="2">
        <v>45890</v>
      </c>
      <c r="C341" t="s">
        <v>29</v>
      </c>
      <c r="D341" t="s">
        <v>30</v>
      </c>
      <c r="E341" t="s">
        <v>46</v>
      </c>
      <c r="F341" t="s">
        <v>51</v>
      </c>
      <c r="G341">
        <v>6</v>
      </c>
      <c r="H341" s="3">
        <v>3183.21</v>
      </c>
      <c r="I341" s="3">
        <v>19099.259999999998</v>
      </c>
      <c r="J341" s="3">
        <v>12633.55</v>
      </c>
      <c r="K341" s="3">
        <v>6465.71</v>
      </c>
      <c r="L341" t="s">
        <v>52</v>
      </c>
      <c r="M341" s="7">
        <f t="shared" si="5"/>
        <v>0.33853196406562353</v>
      </c>
    </row>
    <row r="342" spans="1:13" x14ac:dyDescent="0.35">
      <c r="A342" t="s">
        <v>386</v>
      </c>
      <c r="B342" s="2">
        <v>45792</v>
      </c>
      <c r="C342" t="s">
        <v>42</v>
      </c>
      <c r="D342" t="s">
        <v>54</v>
      </c>
      <c r="E342" t="s">
        <v>46</v>
      </c>
      <c r="F342" t="s">
        <v>51</v>
      </c>
      <c r="G342">
        <v>13</v>
      </c>
      <c r="H342" s="3">
        <v>3072.93</v>
      </c>
      <c r="I342" s="3">
        <v>39948.089999999997</v>
      </c>
      <c r="J342" s="3">
        <v>30241.39</v>
      </c>
      <c r="K342" s="3">
        <v>9706.7000000000007</v>
      </c>
      <c r="L342" t="s">
        <v>52</v>
      </c>
      <c r="M342" s="7">
        <f t="shared" si="5"/>
        <v>0.24298283096888992</v>
      </c>
    </row>
    <row r="343" spans="1:13" x14ac:dyDescent="0.35">
      <c r="A343" t="s">
        <v>387</v>
      </c>
      <c r="B343" s="2">
        <v>45912</v>
      </c>
      <c r="C343" t="s">
        <v>19</v>
      </c>
      <c r="D343" t="s">
        <v>54</v>
      </c>
      <c r="E343" t="s">
        <v>15</v>
      </c>
      <c r="F343" t="s">
        <v>34</v>
      </c>
      <c r="G343">
        <v>5</v>
      </c>
      <c r="H343" s="3">
        <v>116.83</v>
      </c>
      <c r="I343" s="3">
        <v>584.15</v>
      </c>
      <c r="J343" s="3">
        <v>418.46</v>
      </c>
      <c r="K343" s="3">
        <v>165.69</v>
      </c>
      <c r="L343" t="s">
        <v>17</v>
      </c>
      <c r="M343" s="7">
        <f t="shared" si="5"/>
        <v>0.2836428999400839</v>
      </c>
    </row>
    <row r="344" spans="1:13" x14ac:dyDescent="0.35">
      <c r="A344" t="s">
        <v>388</v>
      </c>
      <c r="B344" s="2">
        <v>45674</v>
      </c>
      <c r="C344" t="s">
        <v>13</v>
      </c>
      <c r="D344" t="s">
        <v>68</v>
      </c>
      <c r="E344" t="s">
        <v>26</v>
      </c>
      <c r="F344" t="s">
        <v>49</v>
      </c>
      <c r="G344">
        <v>1</v>
      </c>
      <c r="H344" s="3">
        <v>1678.92</v>
      </c>
      <c r="I344" s="3">
        <v>1678.92</v>
      </c>
      <c r="J344" s="3">
        <v>1272.6500000000001</v>
      </c>
      <c r="K344" s="3">
        <v>406.27</v>
      </c>
      <c r="L344" t="s">
        <v>17</v>
      </c>
      <c r="M344" s="7">
        <f t="shared" si="5"/>
        <v>0.24198294141471896</v>
      </c>
    </row>
    <row r="345" spans="1:13" x14ac:dyDescent="0.35">
      <c r="A345" t="s">
        <v>389</v>
      </c>
      <c r="B345" s="2">
        <v>45864</v>
      </c>
      <c r="C345" t="s">
        <v>19</v>
      </c>
      <c r="D345" t="s">
        <v>36</v>
      </c>
      <c r="E345" t="s">
        <v>26</v>
      </c>
      <c r="F345" t="s">
        <v>49</v>
      </c>
      <c r="G345">
        <v>18</v>
      </c>
      <c r="H345" s="3">
        <v>1358.86</v>
      </c>
      <c r="I345" s="3">
        <v>24459.48</v>
      </c>
      <c r="J345" s="3">
        <v>19845.400000000001</v>
      </c>
      <c r="K345" s="3">
        <v>4614.08</v>
      </c>
      <c r="L345" t="s">
        <v>17</v>
      </c>
      <c r="M345" s="7">
        <f t="shared" si="5"/>
        <v>0.1886417863339695</v>
      </c>
    </row>
    <row r="346" spans="1:13" x14ac:dyDescent="0.35">
      <c r="A346" t="s">
        <v>390</v>
      </c>
      <c r="B346" s="2">
        <v>45885</v>
      </c>
      <c r="C346" t="s">
        <v>13</v>
      </c>
      <c r="D346" t="s">
        <v>54</v>
      </c>
      <c r="E346" t="s">
        <v>21</v>
      </c>
      <c r="F346" t="s">
        <v>63</v>
      </c>
      <c r="G346">
        <v>19</v>
      </c>
      <c r="H346" s="3">
        <v>6957.46</v>
      </c>
      <c r="I346" s="3">
        <v>132191.74</v>
      </c>
      <c r="J346" s="3">
        <v>101217.04</v>
      </c>
      <c r="K346" s="3">
        <v>30974.7</v>
      </c>
      <c r="L346" t="s">
        <v>23</v>
      </c>
      <c r="M346" s="7">
        <f t="shared" si="5"/>
        <v>0.2343164557785532</v>
      </c>
    </row>
    <row r="347" spans="1:13" x14ac:dyDescent="0.35">
      <c r="A347" t="s">
        <v>391</v>
      </c>
      <c r="B347" s="2">
        <v>45976</v>
      </c>
      <c r="C347" t="s">
        <v>42</v>
      </c>
      <c r="D347" t="s">
        <v>68</v>
      </c>
      <c r="E347" t="s">
        <v>26</v>
      </c>
      <c r="F347" t="s">
        <v>27</v>
      </c>
      <c r="G347">
        <v>3</v>
      </c>
      <c r="H347" s="3">
        <v>12640.37</v>
      </c>
      <c r="I347" s="3">
        <v>37921.11</v>
      </c>
      <c r="J347" s="3">
        <v>30816.51</v>
      </c>
      <c r="K347" s="3">
        <v>7104.6</v>
      </c>
      <c r="L347" t="s">
        <v>52</v>
      </c>
      <c r="M347" s="7">
        <f t="shared" si="5"/>
        <v>0.18735211073726482</v>
      </c>
    </row>
    <row r="348" spans="1:13" x14ac:dyDescent="0.35">
      <c r="A348" t="s">
        <v>392</v>
      </c>
      <c r="B348" s="2">
        <v>45955</v>
      </c>
      <c r="C348" t="s">
        <v>13</v>
      </c>
      <c r="D348" t="s">
        <v>30</v>
      </c>
      <c r="E348" t="s">
        <v>26</v>
      </c>
      <c r="F348" t="s">
        <v>65</v>
      </c>
      <c r="G348">
        <v>6</v>
      </c>
      <c r="H348" s="3">
        <v>770.77</v>
      </c>
      <c r="I348" s="3">
        <v>4624.62</v>
      </c>
      <c r="J348" s="3">
        <v>3924.27</v>
      </c>
      <c r="K348" s="3">
        <v>700.35</v>
      </c>
      <c r="L348" t="s">
        <v>52</v>
      </c>
      <c r="M348" s="7">
        <f t="shared" si="5"/>
        <v>0.15143946962128782</v>
      </c>
    </row>
    <row r="349" spans="1:13" x14ac:dyDescent="0.35">
      <c r="A349" t="s">
        <v>393</v>
      </c>
      <c r="B349" s="2">
        <v>45761</v>
      </c>
      <c r="C349" t="s">
        <v>13</v>
      </c>
      <c r="D349" t="s">
        <v>39</v>
      </c>
      <c r="E349" t="s">
        <v>46</v>
      </c>
      <c r="F349" t="s">
        <v>70</v>
      </c>
      <c r="G349">
        <v>2</v>
      </c>
      <c r="H349" s="3">
        <v>2219.9699999999998</v>
      </c>
      <c r="I349" s="3">
        <v>4439.9399999999996</v>
      </c>
      <c r="J349" s="3">
        <v>2928.68</v>
      </c>
      <c r="K349" s="3">
        <v>1511.26</v>
      </c>
      <c r="L349" t="s">
        <v>52</v>
      </c>
      <c r="M349" s="7">
        <f t="shared" si="5"/>
        <v>0.34037847358297635</v>
      </c>
    </row>
    <row r="350" spans="1:13" x14ac:dyDescent="0.35">
      <c r="A350" t="s">
        <v>394</v>
      </c>
      <c r="B350" s="2">
        <v>45853</v>
      </c>
      <c r="C350" t="s">
        <v>29</v>
      </c>
      <c r="D350" t="s">
        <v>36</v>
      </c>
      <c r="E350" t="s">
        <v>46</v>
      </c>
      <c r="F350" t="s">
        <v>70</v>
      </c>
      <c r="G350">
        <v>8</v>
      </c>
      <c r="H350" s="3">
        <v>2286.23</v>
      </c>
      <c r="I350" s="3">
        <v>18289.84</v>
      </c>
      <c r="J350" s="3">
        <v>12141.84</v>
      </c>
      <c r="K350" s="3">
        <v>6148</v>
      </c>
      <c r="L350" t="s">
        <v>17</v>
      </c>
      <c r="M350" s="7">
        <f t="shared" si="5"/>
        <v>0.33614290775643746</v>
      </c>
    </row>
    <row r="351" spans="1:13" x14ac:dyDescent="0.35">
      <c r="A351" t="s">
        <v>395</v>
      </c>
      <c r="B351" s="2">
        <v>45759</v>
      </c>
      <c r="C351" t="s">
        <v>42</v>
      </c>
      <c r="D351" t="s">
        <v>30</v>
      </c>
      <c r="E351" t="s">
        <v>26</v>
      </c>
      <c r="F351" t="s">
        <v>65</v>
      </c>
      <c r="G351">
        <v>14</v>
      </c>
      <c r="H351" s="3">
        <v>651.22</v>
      </c>
      <c r="I351" s="3">
        <v>9117.08</v>
      </c>
      <c r="J351" s="3">
        <v>6553.86</v>
      </c>
      <c r="K351" s="3">
        <v>2563.2199999999998</v>
      </c>
      <c r="L351" t="s">
        <v>17</v>
      </c>
      <c r="M351" s="7">
        <f t="shared" si="5"/>
        <v>0.28114484023393455</v>
      </c>
    </row>
    <row r="352" spans="1:13" x14ac:dyDescent="0.35">
      <c r="A352" t="s">
        <v>396</v>
      </c>
      <c r="B352" s="2">
        <v>45861</v>
      </c>
      <c r="C352" t="s">
        <v>42</v>
      </c>
      <c r="D352" t="s">
        <v>33</v>
      </c>
      <c r="E352" t="s">
        <v>46</v>
      </c>
      <c r="F352" t="s">
        <v>70</v>
      </c>
      <c r="G352">
        <v>17</v>
      </c>
      <c r="H352" s="3">
        <v>2220.4499999999998</v>
      </c>
      <c r="I352" s="3">
        <v>37747.65</v>
      </c>
      <c r="J352" s="3">
        <v>30508.400000000001</v>
      </c>
      <c r="K352" s="3">
        <v>7239.25</v>
      </c>
      <c r="L352" t="s">
        <v>23</v>
      </c>
      <c r="M352" s="7">
        <f t="shared" si="5"/>
        <v>0.19178015055241848</v>
      </c>
    </row>
    <row r="353" spans="1:13" x14ac:dyDescent="0.35">
      <c r="A353" t="s">
        <v>397</v>
      </c>
      <c r="B353" s="2">
        <v>45794</v>
      </c>
      <c r="C353" t="s">
        <v>19</v>
      </c>
      <c r="D353" t="s">
        <v>36</v>
      </c>
      <c r="E353" t="s">
        <v>46</v>
      </c>
      <c r="F353" t="s">
        <v>70</v>
      </c>
      <c r="G353">
        <v>11</v>
      </c>
      <c r="H353" s="3">
        <v>2342.98</v>
      </c>
      <c r="I353" s="3">
        <v>25772.78</v>
      </c>
      <c r="J353" s="3">
        <v>20670.8</v>
      </c>
      <c r="K353" s="3">
        <v>5101.9799999999996</v>
      </c>
      <c r="L353" t="s">
        <v>17</v>
      </c>
      <c r="M353" s="7">
        <f t="shared" si="5"/>
        <v>0.197960018282855</v>
      </c>
    </row>
    <row r="354" spans="1:13" x14ac:dyDescent="0.35">
      <c r="A354" t="s">
        <v>398</v>
      </c>
      <c r="B354" s="2">
        <v>45858</v>
      </c>
      <c r="C354" t="s">
        <v>29</v>
      </c>
      <c r="D354" t="s">
        <v>25</v>
      </c>
      <c r="E354" t="s">
        <v>15</v>
      </c>
      <c r="F354" t="s">
        <v>34</v>
      </c>
      <c r="G354">
        <v>7</v>
      </c>
      <c r="H354" s="3">
        <v>129.52000000000001</v>
      </c>
      <c r="I354" s="3">
        <v>906.64</v>
      </c>
      <c r="J354" s="3">
        <v>663.73</v>
      </c>
      <c r="K354" s="3">
        <v>242.91</v>
      </c>
      <c r="L354" t="s">
        <v>52</v>
      </c>
      <c r="M354" s="7">
        <f t="shared" si="5"/>
        <v>0.26792332127415514</v>
      </c>
    </row>
    <row r="355" spans="1:13" x14ac:dyDescent="0.35">
      <c r="A355" t="s">
        <v>399</v>
      </c>
      <c r="B355" s="2">
        <v>46022</v>
      </c>
      <c r="C355" t="s">
        <v>42</v>
      </c>
      <c r="D355" t="s">
        <v>25</v>
      </c>
      <c r="E355" t="s">
        <v>15</v>
      </c>
      <c r="F355" t="s">
        <v>34</v>
      </c>
      <c r="G355">
        <v>7</v>
      </c>
      <c r="H355" s="3">
        <v>124.94</v>
      </c>
      <c r="I355" s="3">
        <v>874.58</v>
      </c>
      <c r="J355" s="3">
        <v>687.41</v>
      </c>
      <c r="K355" s="3">
        <v>187.17</v>
      </c>
      <c r="L355" t="s">
        <v>23</v>
      </c>
      <c r="M355" s="7">
        <f t="shared" si="5"/>
        <v>0.21401129685105991</v>
      </c>
    </row>
    <row r="356" spans="1:13" x14ac:dyDescent="0.35">
      <c r="A356" t="s">
        <v>400</v>
      </c>
      <c r="B356" s="2">
        <v>45711</v>
      </c>
      <c r="C356" t="s">
        <v>42</v>
      </c>
      <c r="D356" t="s">
        <v>36</v>
      </c>
      <c r="E356" t="s">
        <v>46</v>
      </c>
      <c r="F356" t="s">
        <v>70</v>
      </c>
      <c r="G356">
        <v>13</v>
      </c>
      <c r="H356" s="3">
        <v>2426.44</v>
      </c>
      <c r="I356" s="3">
        <v>31543.72</v>
      </c>
      <c r="J356" s="3">
        <v>24011.51</v>
      </c>
      <c r="K356" s="3">
        <v>7532.21</v>
      </c>
      <c r="L356" t="s">
        <v>52</v>
      </c>
      <c r="M356" s="7">
        <f t="shared" si="5"/>
        <v>0.23878635747464153</v>
      </c>
    </row>
    <row r="357" spans="1:13" x14ac:dyDescent="0.35">
      <c r="A357" t="s">
        <v>401</v>
      </c>
      <c r="B357" s="2">
        <v>45948</v>
      </c>
      <c r="C357" t="s">
        <v>42</v>
      </c>
      <c r="D357" t="s">
        <v>39</v>
      </c>
      <c r="E357" t="s">
        <v>21</v>
      </c>
      <c r="F357" t="s">
        <v>63</v>
      </c>
      <c r="G357">
        <v>17</v>
      </c>
      <c r="H357" s="3">
        <v>6399.65</v>
      </c>
      <c r="I357" s="3">
        <v>108794.05</v>
      </c>
      <c r="J357" s="3">
        <v>76737.740000000005</v>
      </c>
      <c r="K357" s="3">
        <v>32056.31</v>
      </c>
      <c r="L357" t="s">
        <v>17</v>
      </c>
      <c r="M357" s="7">
        <f t="shared" si="5"/>
        <v>0.29465131594972338</v>
      </c>
    </row>
    <row r="358" spans="1:13" x14ac:dyDescent="0.35">
      <c r="A358" t="s">
        <v>402</v>
      </c>
      <c r="B358" s="2">
        <v>45886</v>
      </c>
      <c r="C358" t="s">
        <v>19</v>
      </c>
      <c r="D358" t="s">
        <v>36</v>
      </c>
      <c r="E358" t="s">
        <v>21</v>
      </c>
      <c r="F358" t="s">
        <v>22</v>
      </c>
      <c r="G358">
        <v>20</v>
      </c>
      <c r="H358" s="3">
        <v>11781.93</v>
      </c>
      <c r="I358" s="3">
        <v>235638.6</v>
      </c>
      <c r="J358" s="3">
        <v>189064.29</v>
      </c>
      <c r="K358" s="3">
        <v>46574.31</v>
      </c>
      <c r="L358" t="s">
        <v>17</v>
      </c>
      <c r="M358" s="7">
        <f t="shared" si="5"/>
        <v>0.19765144590062916</v>
      </c>
    </row>
    <row r="359" spans="1:13" x14ac:dyDescent="0.35">
      <c r="A359" t="s">
        <v>403</v>
      </c>
      <c r="B359" s="2">
        <v>45897</v>
      </c>
      <c r="C359" t="s">
        <v>19</v>
      </c>
      <c r="D359" t="s">
        <v>54</v>
      </c>
      <c r="E359" t="s">
        <v>15</v>
      </c>
      <c r="F359" t="s">
        <v>16</v>
      </c>
      <c r="G359">
        <v>2</v>
      </c>
      <c r="H359" s="3">
        <v>279.20999999999998</v>
      </c>
      <c r="I359" s="3">
        <v>558.41999999999996</v>
      </c>
      <c r="J359" s="3">
        <v>453.93</v>
      </c>
      <c r="K359" s="3">
        <v>104.49</v>
      </c>
      <c r="L359" t="s">
        <v>23</v>
      </c>
      <c r="M359" s="7">
        <f t="shared" si="5"/>
        <v>0.18711722359514343</v>
      </c>
    </row>
    <row r="360" spans="1:13" x14ac:dyDescent="0.35">
      <c r="A360" t="s">
        <v>404</v>
      </c>
      <c r="B360" s="2">
        <v>45875</v>
      </c>
      <c r="C360" t="s">
        <v>19</v>
      </c>
      <c r="D360" t="s">
        <v>36</v>
      </c>
      <c r="E360" t="s">
        <v>26</v>
      </c>
      <c r="F360" t="s">
        <v>27</v>
      </c>
      <c r="G360">
        <v>19</v>
      </c>
      <c r="H360" s="3">
        <v>11411.41</v>
      </c>
      <c r="I360" s="3">
        <v>216816.79</v>
      </c>
      <c r="J360" s="3">
        <v>146281.1</v>
      </c>
      <c r="K360" s="3">
        <v>70535.69</v>
      </c>
      <c r="L360" t="s">
        <v>17</v>
      </c>
      <c r="M360" s="7">
        <f t="shared" si="5"/>
        <v>0.32532392901859675</v>
      </c>
    </row>
    <row r="361" spans="1:13" x14ac:dyDescent="0.35">
      <c r="A361" t="s">
        <v>405</v>
      </c>
      <c r="B361" s="2">
        <v>45746</v>
      </c>
      <c r="C361" t="s">
        <v>19</v>
      </c>
      <c r="D361" t="s">
        <v>30</v>
      </c>
      <c r="E361" t="s">
        <v>26</v>
      </c>
      <c r="F361" t="s">
        <v>65</v>
      </c>
      <c r="G361">
        <v>6</v>
      </c>
      <c r="H361" s="3">
        <v>681.34</v>
      </c>
      <c r="I361" s="3">
        <v>4088.04</v>
      </c>
      <c r="J361" s="3">
        <v>2613.11</v>
      </c>
      <c r="K361" s="3">
        <v>1474.93</v>
      </c>
      <c r="L361" t="s">
        <v>23</v>
      </c>
      <c r="M361" s="7">
        <f t="shared" si="5"/>
        <v>0.36079147953542529</v>
      </c>
    </row>
    <row r="362" spans="1:13" x14ac:dyDescent="0.35">
      <c r="A362" t="s">
        <v>406</v>
      </c>
      <c r="B362" s="2">
        <v>45849</v>
      </c>
      <c r="C362" t="s">
        <v>19</v>
      </c>
      <c r="D362" t="s">
        <v>30</v>
      </c>
      <c r="E362" t="s">
        <v>15</v>
      </c>
      <c r="F362" t="s">
        <v>34</v>
      </c>
      <c r="G362">
        <v>9</v>
      </c>
      <c r="H362" s="3">
        <v>133.30000000000001</v>
      </c>
      <c r="I362" s="3">
        <v>1199.7</v>
      </c>
      <c r="J362" s="3">
        <v>992.97</v>
      </c>
      <c r="K362" s="3">
        <v>206.73</v>
      </c>
      <c r="L362" t="s">
        <v>17</v>
      </c>
      <c r="M362" s="7">
        <f t="shared" si="5"/>
        <v>0.17231807951987996</v>
      </c>
    </row>
    <row r="363" spans="1:13" x14ac:dyDescent="0.35">
      <c r="A363" t="s">
        <v>407</v>
      </c>
      <c r="B363" s="2">
        <v>45989</v>
      </c>
      <c r="C363" t="s">
        <v>29</v>
      </c>
      <c r="D363" t="s">
        <v>33</v>
      </c>
      <c r="E363" t="s">
        <v>15</v>
      </c>
      <c r="F363" t="s">
        <v>37</v>
      </c>
      <c r="G363">
        <v>12</v>
      </c>
      <c r="H363" s="3">
        <v>355.19</v>
      </c>
      <c r="I363" s="3">
        <v>4262.28</v>
      </c>
      <c r="J363" s="3">
        <v>3511.16</v>
      </c>
      <c r="K363" s="3">
        <v>751.12</v>
      </c>
      <c r="L363" t="s">
        <v>23</v>
      </c>
      <c r="M363" s="7">
        <f t="shared" si="5"/>
        <v>0.17622493125744906</v>
      </c>
    </row>
    <row r="364" spans="1:13" x14ac:dyDescent="0.35">
      <c r="A364" t="s">
        <v>408</v>
      </c>
      <c r="B364" s="2">
        <v>45771</v>
      </c>
      <c r="C364" t="s">
        <v>42</v>
      </c>
      <c r="D364" t="s">
        <v>44</v>
      </c>
      <c r="E364" t="s">
        <v>21</v>
      </c>
      <c r="F364" t="s">
        <v>22</v>
      </c>
      <c r="G364">
        <v>4</v>
      </c>
      <c r="H364" s="3">
        <v>10614.16</v>
      </c>
      <c r="I364" s="3">
        <v>42456.639999999999</v>
      </c>
      <c r="J364" s="3">
        <v>34438.370000000003</v>
      </c>
      <c r="K364" s="3">
        <v>8018.27</v>
      </c>
      <c r="L364" t="s">
        <v>17</v>
      </c>
      <c r="M364" s="7">
        <f t="shared" si="5"/>
        <v>0.18885785592077001</v>
      </c>
    </row>
    <row r="365" spans="1:13" x14ac:dyDescent="0.35">
      <c r="A365" t="s">
        <v>409</v>
      </c>
      <c r="B365" s="2">
        <v>45916</v>
      </c>
      <c r="C365" t="s">
        <v>42</v>
      </c>
      <c r="D365" t="s">
        <v>33</v>
      </c>
      <c r="E365" t="s">
        <v>46</v>
      </c>
      <c r="F365" t="s">
        <v>70</v>
      </c>
      <c r="G365">
        <v>10</v>
      </c>
      <c r="H365" s="3">
        <v>2399.6799999999998</v>
      </c>
      <c r="I365" s="3">
        <v>23996.799999999999</v>
      </c>
      <c r="J365" s="3">
        <v>16699.39</v>
      </c>
      <c r="K365" s="3">
        <v>7297.41</v>
      </c>
      <c r="L365" t="s">
        <v>17</v>
      </c>
      <c r="M365" s="7">
        <f t="shared" si="5"/>
        <v>0.30409929657287638</v>
      </c>
    </row>
    <row r="366" spans="1:13" x14ac:dyDescent="0.35">
      <c r="A366" t="s">
        <v>410</v>
      </c>
      <c r="B366" s="2">
        <v>45901</v>
      </c>
      <c r="C366" t="s">
        <v>42</v>
      </c>
      <c r="D366" t="s">
        <v>36</v>
      </c>
      <c r="E366" t="s">
        <v>26</v>
      </c>
      <c r="F366" t="s">
        <v>27</v>
      </c>
      <c r="G366">
        <v>14</v>
      </c>
      <c r="H366" s="3">
        <v>13321.13</v>
      </c>
      <c r="I366" s="3">
        <v>186495.82</v>
      </c>
      <c r="J366" s="3">
        <v>153357.82999999999</v>
      </c>
      <c r="K366" s="3">
        <v>33137.99</v>
      </c>
      <c r="L366" t="s">
        <v>17</v>
      </c>
      <c r="M366" s="7">
        <f t="shared" si="5"/>
        <v>0.17768757498157331</v>
      </c>
    </row>
    <row r="367" spans="1:13" x14ac:dyDescent="0.35">
      <c r="A367" t="s">
        <v>411</v>
      </c>
      <c r="B367" s="2">
        <v>45909</v>
      </c>
      <c r="C367" t="s">
        <v>29</v>
      </c>
      <c r="D367" t="s">
        <v>54</v>
      </c>
      <c r="E367" t="s">
        <v>46</v>
      </c>
      <c r="F367" t="s">
        <v>51</v>
      </c>
      <c r="G367">
        <v>3</v>
      </c>
      <c r="H367" s="3">
        <v>3004.81</v>
      </c>
      <c r="I367" s="3">
        <v>9014.43</v>
      </c>
      <c r="J367" s="3">
        <v>7649.96</v>
      </c>
      <c r="K367" s="3">
        <v>1364.47</v>
      </c>
      <c r="L367" t="s">
        <v>23</v>
      </c>
      <c r="M367" s="7">
        <f t="shared" si="5"/>
        <v>0.15136508908494492</v>
      </c>
    </row>
    <row r="368" spans="1:13" x14ac:dyDescent="0.35">
      <c r="A368" t="s">
        <v>412</v>
      </c>
      <c r="B368" s="2">
        <v>45891</v>
      </c>
      <c r="C368" t="s">
        <v>42</v>
      </c>
      <c r="D368" t="s">
        <v>39</v>
      </c>
      <c r="E368" t="s">
        <v>21</v>
      </c>
      <c r="F368" t="s">
        <v>63</v>
      </c>
      <c r="G368">
        <v>13</v>
      </c>
      <c r="H368" s="3">
        <v>7258.65</v>
      </c>
      <c r="I368" s="3">
        <v>94362.45</v>
      </c>
      <c r="J368" s="3">
        <v>62222.559999999998</v>
      </c>
      <c r="K368" s="3">
        <v>32139.89</v>
      </c>
      <c r="L368" t="s">
        <v>52</v>
      </c>
      <c r="M368" s="7">
        <f t="shared" si="5"/>
        <v>0.34060041891663473</v>
      </c>
    </row>
    <row r="369" spans="1:13" x14ac:dyDescent="0.35">
      <c r="A369" t="s">
        <v>413</v>
      </c>
      <c r="B369" s="2">
        <v>45841</v>
      </c>
      <c r="C369" t="s">
        <v>13</v>
      </c>
      <c r="D369" t="s">
        <v>44</v>
      </c>
      <c r="E369" t="s">
        <v>26</v>
      </c>
      <c r="F369" t="s">
        <v>49</v>
      </c>
      <c r="G369">
        <v>3</v>
      </c>
      <c r="H369" s="3">
        <v>1380.27</v>
      </c>
      <c r="I369" s="3">
        <v>4140.8100000000004</v>
      </c>
      <c r="J369" s="3">
        <v>2704.4</v>
      </c>
      <c r="K369" s="3">
        <v>1436.41</v>
      </c>
      <c r="L369" t="s">
        <v>23</v>
      </c>
      <c r="M369" s="7">
        <f t="shared" si="5"/>
        <v>0.34689106720665763</v>
      </c>
    </row>
    <row r="370" spans="1:13" x14ac:dyDescent="0.35">
      <c r="A370" t="s">
        <v>414</v>
      </c>
      <c r="B370" s="2">
        <v>45729</v>
      </c>
      <c r="C370" t="s">
        <v>13</v>
      </c>
      <c r="D370" t="s">
        <v>36</v>
      </c>
      <c r="E370" t="s">
        <v>26</v>
      </c>
      <c r="F370" t="s">
        <v>65</v>
      </c>
      <c r="G370">
        <v>5</v>
      </c>
      <c r="H370" s="3">
        <v>723.36</v>
      </c>
      <c r="I370" s="3">
        <v>3616.8</v>
      </c>
      <c r="J370" s="3">
        <v>2790.22</v>
      </c>
      <c r="K370" s="3">
        <v>826.58</v>
      </c>
      <c r="L370" t="s">
        <v>23</v>
      </c>
      <c r="M370" s="7">
        <f t="shared" si="5"/>
        <v>0.22853904003539041</v>
      </c>
    </row>
    <row r="371" spans="1:13" x14ac:dyDescent="0.35">
      <c r="A371" t="s">
        <v>415</v>
      </c>
      <c r="B371" s="2">
        <v>45876</v>
      </c>
      <c r="C371" t="s">
        <v>13</v>
      </c>
      <c r="D371" t="s">
        <v>33</v>
      </c>
      <c r="E371" t="s">
        <v>21</v>
      </c>
      <c r="F371" t="s">
        <v>22</v>
      </c>
      <c r="G371">
        <v>5</v>
      </c>
      <c r="H371" s="3">
        <v>11800.41</v>
      </c>
      <c r="I371" s="3">
        <v>59002.05</v>
      </c>
      <c r="J371" s="3">
        <v>45980.800000000003</v>
      </c>
      <c r="K371" s="3">
        <v>13021.25</v>
      </c>
      <c r="L371" t="s">
        <v>17</v>
      </c>
      <c r="M371" s="7">
        <f t="shared" si="5"/>
        <v>0.22069148444842171</v>
      </c>
    </row>
    <row r="372" spans="1:13" x14ac:dyDescent="0.35">
      <c r="A372" t="s">
        <v>416</v>
      </c>
      <c r="B372" s="2">
        <v>45722</v>
      </c>
      <c r="C372" t="s">
        <v>19</v>
      </c>
      <c r="D372" t="s">
        <v>33</v>
      </c>
      <c r="E372" t="s">
        <v>15</v>
      </c>
      <c r="F372" t="s">
        <v>37</v>
      </c>
      <c r="G372">
        <v>19</v>
      </c>
      <c r="H372" s="3">
        <v>318.94</v>
      </c>
      <c r="I372" s="3">
        <v>6059.86</v>
      </c>
      <c r="J372" s="3">
        <v>4245.9399999999996</v>
      </c>
      <c r="K372" s="3">
        <v>1813.92</v>
      </c>
      <c r="L372" t="s">
        <v>52</v>
      </c>
      <c r="M372" s="7">
        <f t="shared" si="5"/>
        <v>0.29933364797206541</v>
      </c>
    </row>
    <row r="373" spans="1:13" x14ac:dyDescent="0.35">
      <c r="A373" t="s">
        <v>417</v>
      </c>
      <c r="B373" s="2">
        <v>45983</v>
      </c>
      <c r="C373" t="s">
        <v>42</v>
      </c>
      <c r="D373" t="s">
        <v>14</v>
      </c>
      <c r="E373" t="s">
        <v>15</v>
      </c>
      <c r="F373" t="s">
        <v>34</v>
      </c>
      <c r="G373">
        <v>13</v>
      </c>
      <c r="H373" s="3">
        <v>112.47</v>
      </c>
      <c r="I373" s="3">
        <v>1462.11</v>
      </c>
      <c r="J373" s="3">
        <v>1214</v>
      </c>
      <c r="K373" s="3">
        <v>248.11</v>
      </c>
      <c r="L373" t="s">
        <v>52</v>
      </c>
      <c r="M373" s="7">
        <f t="shared" si="5"/>
        <v>0.16969311474512863</v>
      </c>
    </row>
    <row r="374" spans="1:13" x14ac:dyDescent="0.35">
      <c r="A374" t="s">
        <v>418</v>
      </c>
      <c r="B374" s="2">
        <v>45758</v>
      </c>
      <c r="C374" t="s">
        <v>29</v>
      </c>
      <c r="D374" t="s">
        <v>44</v>
      </c>
      <c r="E374" t="s">
        <v>26</v>
      </c>
      <c r="F374" t="s">
        <v>49</v>
      </c>
      <c r="G374">
        <v>3</v>
      </c>
      <c r="H374" s="3">
        <v>1656.59</v>
      </c>
      <c r="I374" s="3">
        <v>4969.7700000000004</v>
      </c>
      <c r="J374" s="3">
        <v>3258.11</v>
      </c>
      <c r="K374" s="3">
        <v>1711.66</v>
      </c>
      <c r="L374" t="s">
        <v>17</v>
      </c>
      <c r="M374" s="7">
        <f t="shared" si="5"/>
        <v>0.34441432903333552</v>
      </c>
    </row>
    <row r="375" spans="1:13" x14ac:dyDescent="0.35">
      <c r="A375" t="s">
        <v>419</v>
      </c>
      <c r="B375" s="2">
        <v>45893</v>
      </c>
      <c r="C375" t="s">
        <v>42</v>
      </c>
      <c r="D375" t="s">
        <v>36</v>
      </c>
      <c r="E375" t="s">
        <v>26</v>
      </c>
      <c r="F375" t="s">
        <v>27</v>
      </c>
      <c r="G375">
        <v>9</v>
      </c>
      <c r="H375" s="3">
        <v>12041.28</v>
      </c>
      <c r="I375" s="3">
        <v>108371.52</v>
      </c>
      <c r="J375" s="3">
        <v>68454.429999999993</v>
      </c>
      <c r="K375" s="3">
        <v>39917.089999999997</v>
      </c>
      <c r="L375" t="s">
        <v>23</v>
      </c>
      <c r="M375" s="7">
        <f t="shared" si="5"/>
        <v>0.36833561068443071</v>
      </c>
    </row>
    <row r="376" spans="1:13" x14ac:dyDescent="0.35">
      <c r="A376" t="s">
        <v>420</v>
      </c>
      <c r="B376" s="2">
        <v>45907</v>
      </c>
      <c r="C376" t="s">
        <v>42</v>
      </c>
      <c r="D376" t="s">
        <v>54</v>
      </c>
      <c r="E376" t="s">
        <v>26</v>
      </c>
      <c r="F376" t="s">
        <v>65</v>
      </c>
      <c r="G376">
        <v>4</v>
      </c>
      <c r="H376" s="3">
        <v>708.16</v>
      </c>
      <c r="I376" s="3">
        <v>2832.64</v>
      </c>
      <c r="J376" s="3">
        <v>2241.1999999999998</v>
      </c>
      <c r="K376" s="3">
        <v>591.44000000000005</v>
      </c>
      <c r="L376" t="s">
        <v>23</v>
      </c>
      <c r="M376" s="7">
        <f t="shared" si="5"/>
        <v>0.2087946226841392</v>
      </c>
    </row>
    <row r="377" spans="1:13" x14ac:dyDescent="0.35">
      <c r="A377" t="s">
        <v>421</v>
      </c>
      <c r="B377" s="2">
        <v>45873</v>
      </c>
      <c r="C377" t="s">
        <v>13</v>
      </c>
      <c r="D377" t="s">
        <v>33</v>
      </c>
      <c r="E377" t="s">
        <v>26</v>
      </c>
      <c r="F377" t="s">
        <v>31</v>
      </c>
      <c r="G377">
        <v>12</v>
      </c>
      <c r="H377" s="3">
        <v>42806.45</v>
      </c>
      <c r="I377" s="3">
        <v>513677.4</v>
      </c>
      <c r="J377" s="3">
        <v>337797.59</v>
      </c>
      <c r="K377" s="3">
        <v>175879.81</v>
      </c>
      <c r="L377" t="s">
        <v>52</v>
      </c>
      <c r="M377" s="7">
        <f t="shared" si="5"/>
        <v>0.34239351390580935</v>
      </c>
    </row>
    <row r="378" spans="1:13" x14ac:dyDescent="0.35">
      <c r="A378" t="s">
        <v>422</v>
      </c>
      <c r="B378" s="2">
        <v>46022</v>
      </c>
      <c r="C378" t="s">
        <v>29</v>
      </c>
      <c r="D378" t="s">
        <v>54</v>
      </c>
      <c r="E378" t="s">
        <v>46</v>
      </c>
      <c r="F378" t="s">
        <v>51</v>
      </c>
      <c r="G378">
        <v>4</v>
      </c>
      <c r="H378" s="3">
        <v>3197.84</v>
      </c>
      <c r="I378" s="3">
        <v>12791.36</v>
      </c>
      <c r="J378" s="3">
        <v>8933.7800000000007</v>
      </c>
      <c r="K378" s="3">
        <v>3857.58</v>
      </c>
      <c r="L378" t="s">
        <v>23</v>
      </c>
      <c r="M378" s="7">
        <f t="shared" si="5"/>
        <v>0.30157700197633402</v>
      </c>
    </row>
    <row r="379" spans="1:13" x14ac:dyDescent="0.35">
      <c r="A379" t="s">
        <v>423</v>
      </c>
      <c r="B379" s="2">
        <v>46015</v>
      </c>
      <c r="C379" t="s">
        <v>42</v>
      </c>
      <c r="D379" t="s">
        <v>25</v>
      </c>
      <c r="E379" t="s">
        <v>21</v>
      </c>
      <c r="F379" t="s">
        <v>63</v>
      </c>
      <c r="G379">
        <v>20</v>
      </c>
      <c r="H379" s="3">
        <v>7202.51</v>
      </c>
      <c r="I379" s="3">
        <v>144050.20000000001</v>
      </c>
      <c r="J379" s="3">
        <v>106741.33</v>
      </c>
      <c r="K379" s="3">
        <v>37308.870000000003</v>
      </c>
      <c r="L379" t="s">
        <v>17</v>
      </c>
      <c r="M379" s="7">
        <f t="shared" si="5"/>
        <v>0.25899908504118702</v>
      </c>
    </row>
    <row r="380" spans="1:13" x14ac:dyDescent="0.35">
      <c r="A380" t="s">
        <v>424</v>
      </c>
      <c r="B380" s="2">
        <v>45802</v>
      </c>
      <c r="C380" t="s">
        <v>19</v>
      </c>
      <c r="D380" t="s">
        <v>30</v>
      </c>
      <c r="E380" t="s">
        <v>46</v>
      </c>
      <c r="F380" t="s">
        <v>51</v>
      </c>
      <c r="G380">
        <v>16</v>
      </c>
      <c r="H380" s="3">
        <v>3212.38</v>
      </c>
      <c r="I380" s="3">
        <v>51398.080000000002</v>
      </c>
      <c r="J380" s="3">
        <v>39677.040000000001</v>
      </c>
      <c r="K380" s="3">
        <v>11721.04</v>
      </c>
      <c r="L380" t="s">
        <v>52</v>
      </c>
      <c r="M380" s="7">
        <f t="shared" si="5"/>
        <v>0.22804431605227277</v>
      </c>
    </row>
    <row r="381" spans="1:13" x14ac:dyDescent="0.35">
      <c r="A381" t="s">
        <v>425</v>
      </c>
      <c r="B381" s="2">
        <v>45732</v>
      </c>
      <c r="C381" t="s">
        <v>42</v>
      </c>
      <c r="D381" t="s">
        <v>36</v>
      </c>
      <c r="E381" t="s">
        <v>15</v>
      </c>
      <c r="F381" t="s">
        <v>37</v>
      </c>
      <c r="G381">
        <v>15</v>
      </c>
      <c r="H381" s="3">
        <v>340.7</v>
      </c>
      <c r="I381" s="3">
        <v>5110.5</v>
      </c>
      <c r="J381" s="3">
        <v>3781.74</v>
      </c>
      <c r="K381" s="3">
        <v>1328.76</v>
      </c>
      <c r="L381" t="s">
        <v>52</v>
      </c>
      <c r="M381" s="7">
        <f t="shared" si="5"/>
        <v>0.26000587026709715</v>
      </c>
    </row>
    <row r="382" spans="1:13" x14ac:dyDescent="0.35">
      <c r="A382" t="s">
        <v>426</v>
      </c>
      <c r="B382" s="2">
        <v>45840</v>
      </c>
      <c r="C382" t="s">
        <v>13</v>
      </c>
      <c r="D382" t="s">
        <v>25</v>
      </c>
      <c r="E382" t="s">
        <v>15</v>
      </c>
      <c r="F382" t="s">
        <v>16</v>
      </c>
      <c r="G382">
        <v>7</v>
      </c>
      <c r="H382" s="3">
        <v>247.47</v>
      </c>
      <c r="I382" s="3">
        <v>1732.29</v>
      </c>
      <c r="J382" s="3">
        <v>1449.41</v>
      </c>
      <c r="K382" s="3">
        <v>282.88</v>
      </c>
      <c r="L382" t="s">
        <v>17</v>
      </c>
      <c r="M382" s="7">
        <f t="shared" si="5"/>
        <v>0.16329829301098545</v>
      </c>
    </row>
    <row r="383" spans="1:13" x14ac:dyDescent="0.35">
      <c r="A383" t="s">
        <v>427</v>
      </c>
      <c r="B383" s="2">
        <v>45681</v>
      </c>
      <c r="C383" t="s">
        <v>19</v>
      </c>
      <c r="D383" t="s">
        <v>39</v>
      </c>
      <c r="E383" t="s">
        <v>46</v>
      </c>
      <c r="F383" t="s">
        <v>47</v>
      </c>
      <c r="G383">
        <v>13</v>
      </c>
      <c r="H383" s="3">
        <v>610.16</v>
      </c>
      <c r="I383" s="3">
        <v>7932.08</v>
      </c>
      <c r="J383" s="3">
        <v>5079.3599999999997</v>
      </c>
      <c r="K383" s="3">
        <v>2852.72</v>
      </c>
      <c r="L383" t="s">
        <v>17</v>
      </c>
      <c r="M383" s="7">
        <f t="shared" si="5"/>
        <v>0.35964337223023468</v>
      </c>
    </row>
    <row r="384" spans="1:13" x14ac:dyDescent="0.35">
      <c r="A384" t="s">
        <v>428</v>
      </c>
      <c r="B384" s="2">
        <v>45693</v>
      </c>
      <c r="C384" t="s">
        <v>13</v>
      </c>
      <c r="D384" t="s">
        <v>54</v>
      </c>
      <c r="E384" t="s">
        <v>21</v>
      </c>
      <c r="F384" t="s">
        <v>22</v>
      </c>
      <c r="G384">
        <v>5</v>
      </c>
      <c r="H384" s="3">
        <v>10363.09</v>
      </c>
      <c r="I384" s="3">
        <v>51815.45</v>
      </c>
      <c r="J384" s="3">
        <v>40661.31</v>
      </c>
      <c r="K384" s="3">
        <v>11154.14</v>
      </c>
      <c r="L384" t="s">
        <v>52</v>
      </c>
      <c r="M384" s="7">
        <f t="shared" si="5"/>
        <v>0.21526668204174623</v>
      </c>
    </row>
    <row r="385" spans="1:13" x14ac:dyDescent="0.35">
      <c r="A385" t="s">
        <v>429</v>
      </c>
      <c r="B385" s="2">
        <v>45882</v>
      </c>
      <c r="C385" t="s">
        <v>13</v>
      </c>
      <c r="D385" t="s">
        <v>54</v>
      </c>
      <c r="E385" t="s">
        <v>21</v>
      </c>
      <c r="F385" t="s">
        <v>22</v>
      </c>
      <c r="G385">
        <v>3</v>
      </c>
      <c r="H385" s="3">
        <v>11142.95</v>
      </c>
      <c r="I385" s="3">
        <v>33428.85</v>
      </c>
      <c r="J385" s="3">
        <v>21072.91</v>
      </c>
      <c r="K385" s="3">
        <v>12355.94</v>
      </c>
      <c r="L385" t="s">
        <v>17</v>
      </c>
      <c r="M385" s="7">
        <f t="shared" si="5"/>
        <v>0.36961905659333183</v>
      </c>
    </row>
    <row r="386" spans="1:13" x14ac:dyDescent="0.35">
      <c r="A386" t="s">
        <v>430</v>
      </c>
      <c r="B386" s="2">
        <v>45709</v>
      </c>
      <c r="C386" t="s">
        <v>29</v>
      </c>
      <c r="D386" t="s">
        <v>25</v>
      </c>
      <c r="E386" t="s">
        <v>46</v>
      </c>
      <c r="F386" t="s">
        <v>70</v>
      </c>
      <c r="G386">
        <v>12</v>
      </c>
      <c r="H386" s="3">
        <v>2282.35</v>
      </c>
      <c r="I386" s="3">
        <v>27388.2</v>
      </c>
      <c r="J386" s="3">
        <v>22167.77</v>
      </c>
      <c r="K386" s="3">
        <v>5220.43</v>
      </c>
      <c r="L386" t="s">
        <v>52</v>
      </c>
      <c r="M386" s="7">
        <f t="shared" ref="M386:M449" si="6">K386/I386</f>
        <v>0.19060872930678177</v>
      </c>
    </row>
    <row r="387" spans="1:13" x14ac:dyDescent="0.35">
      <c r="A387" t="s">
        <v>431</v>
      </c>
      <c r="B387" s="2">
        <v>45770</v>
      </c>
      <c r="C387" t="s">
        <v>42</v>
      </c>
      <c r="D387" t="s">
        <v>68</v>
      </c>
      <c r="E387" t="s">
        <v>21</v>
      </c>
      <c r="F387" t="s">
        <v>101</v>
      </c>
      <c r="G387">
        <v>20</v>
      </c>
      <c r="H387" s="3">
        <v>8458.6</v>
      </c>
      <c r="I387" s="3">
        <v>169172</v>
      </c>
      <c r="J387" s="3">
        <v>140557.39000000001</v>
      </c>
      <c r="K387" s="3">
        <v>28614.61</v>
      </c>
      <c r="L387" t="s">
        <v>17</v>
      </c>
      <c r="M387" s="7">
        <f t="shared" si="6"/>
        <v>0.16914507128839287</v>
      </c>
    </row>
    <row r="388" spans="1:13" x14ac:dyDescent="0.35">
      <c r="A388" t="s">
        <v>432</v>
      </c>
      <c r="B388" s="2">
        <v>45805</v>
      </c>
      <c r="C388" t="s">
        <v>13</v>
      </c>
      <c r="D388" t="s">
        <v>68</v>
      </c>
      <c r="E388" t="s">
        <v>15</v>
      </c>
      <c r="F388" t="s">
        <v>34</v>
      </c>
      <c r="G388">
        <v>20</v>
      </c>
      <c r="H388" s="3">
        <v>127.27</v>
      </c>
      <c r="I388" s="3">
        <v>2545.4</v>
      </c>
      <c r="J388" s="3">
        <v>1718.57</v>
      </c>
      <c r="K388" s="3">
        <v>826.83</v>
      </c>
      <c r="L388" t="s">
        <v>17</v>
      </c>
      <c r="M388" s="7">
        <f t="shared" si="6"/>
        <v>0.32483303213640291</v>
      </c>
    </row>
    <row r="389" spans="1:13" x14ac:dyDescent="0.35">
      <c r="A389" t="s">
        <v>433</v>
      </c>
      <c r="B389" s="2">
        <v>45977</v>
      </c>
      <c r="C389" t="s">
        <v>13</v>
      </c>
      <c r="D389" t="s">
        <v>44</v>
      </c>
      <c r="E389" t="s">
        <v>21</v>
      </c>
      <c r="F389" t="s">
        <v>101</v>
      </c>
      <c r="G389">
        <v>3</v>
      </c>
      <c r="H389" s="3">
        <v>8059.28</v>
      </c>
      <c r="I389" s="3">
        <v>24177.84</v>
      </c>
      <c r="J389" s="3">
        <v>19411.78</v>
      </c>
      <c r="K389" s="3">
        <v>4766.0600000000004</v>
      </c>
      <c r="L389" t="s">
        <v>52</v>
      </c>
      <c r="M389" s="7">
        <f t="shared" si="6"/>
        <v>0.19712513607501747</v>
      </c>
    </row>
    <row r="390" spans="1:13" x14ac:dyDescent="0.35">
      <c r="A390" t="s">
        <v>434</v>
      </c>
      <c r="B390" s="2">
        <v>45736</v>
      </c>
      <c r="C390" t="s">
        <v>19</v>
      </c>
      <c r="D390" t="s">
        <v>14</v>
      </c>
      <c r="E390" t="s">
        <v>46</v>
      </c>
      <c r="F390" t="s">
        <v>47</v>
      </c>
      <c r="G390">
        <v>7</v>
      </c>
      <c r="H390" s="3">
        <v>567.26</v>
      </c>
      <c r="I390" s="3">
        <v>3970.82</v>
      </c>
      <c r="J390" s="3">
        <v>3082.64</v>
      </c>
      <c r="K390" s="3">
        <v>888.18</v>
      </c>
      <c r="L390" t="s">
        <v>23</v>
      </c>
      <c r="M390" s="7">
        <f t="shared" si="6"/>
        <v>0.2236767216846898</v>
      </c>
    </row>
    <row r="391" spans="1:13" x14ac:dyDescent="0.35">
      <c r="A391" t="s">
        <v>435</v>
      </c>
      <c r="B391" s="2">
        <v>45910</v>
      </c>
      <c r="C391" t="s">
        <v>13</v>
      </c>
      <c r="D391" t="s">
        <v>14</v>
      </c>
      <c r="E391" t="s">
        <v>21</v>
      </c>
      <c r="F391" t="s">
        <v>22</v>
      </c>
      <c r="G391">
        <v>13</v>
      </c>
      <c r="H391" s="3">
        <v>11622.31</v>
      </c>
      <c r="I391" s="3">
        <v>151090.03</v>
      </c>
      <c r="J391" s="3">
        <v>117428.72</v>
      </c>
      <c r="K391" s="3">
        <v>33661.31</v>
      </c>
      <c r="L391" t="s">
        <v>52</v>
      </c>
      <c r="M391" s="7">
        <f t="shared" si="6"/>
        <v>0.22278974992592163</v>
      </c>
    </row>
    <row r="392" spans="1:13" x14ac:dyDescent="0.35">
      <c r="A392" t="s">
        <v>436</v>
      </c>
      <c r="B392" s="2">
        <v>45980</v>
      </c>
      <c r="C392" t="s">
        <v>13</v>
      </c>
      <c r="D392" t="s">
        <v>36</v>
      </c>
      <c r="E392" t="s">
        <v>15</v>
      </c>
      <c r="F392" t="s">
        <v>37</v>
      </c>
      <c r="G392">
        <v>13</v>
      </c>
      <c r="H392" s="3">
        <v>317.38</v>
      </c>
      <c r="I392" s="3">
        <v>4125.9399999999996</v>
      </c>
      <c r="J392" s="3">
        <v>3337.42</v>
      </c>
      <c r="K392" s="3">
        <v>788.52</v>
      </c>
      <c r="L392" t="s">
        <v>52</v>
      </c>
      <c r="M392" s="7">
        <f t="shared" si="6"/>
        <v>0.19111281308017083</v>
      </c>
    </row>
    <row r="393" spans="1:13" x14ac:dyDescent="0.35">
      <c r="A393" t="s">
        <v>437</v>
      </c>
      <c r="B393" s="2">
        <v>46013</v>
      </c>
      <c r="C393" t="s">
        <v>29</v>
      </c>
      <c r="D393" t="s">
        <v>14</v>
      </c>
      <c r="E393" t="s">
        <v>46</v>
      </c>
      <c r="F393" t="s">
        <v>70</v>
      </c>
      <c r="G393">
        <v>9</v>
      </c>
      <c r="H393" s="3">
        <v>2164.38</v>
      </c>
      <c r="I393" s="3">
        <v>19479.419999999998</v>
      </c>
      <c r="J393" s="3">
        <v>16662.400000000001</v>
      </c>
      <c r="K393" s="3">
        <v>2817.02</v>
      </c>
      <c r="L393" t="s">
        <v>52</v>
      </c>
      <c r="M393" s="7">
        <f t="shared" si="6"/>
        <v>0.14461518874791962</v>
      </c>
    </row>
    <row r="394" spans="1:13" x14ac:dyDescent="0.35">
      <c r="A394" t="s">
        <v>438</v>
      </c>
      <c r="B394" s="2">
        <v>45801</v>
      </c>
      <c r="C394" t="s">
        <v>29</v>
      </c>
      <c r="D394" t="s">
        <v>54</v>
      </c>
      <c r="E394" t="s">
        <v>26</v>
      </c>
      <c r="F394" t="s">
        <v>49</v>
      </c>
      <c r="G394">
        <v>10</v>
      </c>
      <c r="H394" s="3">
        <v>1441.32</v>
      </c>
      <c r="I394" s="3">
        <v>14413.2</v>
      </c>
      <c r="J394" s="3">
        <v>10252.99</v>
      </c>
      <c r="K394" s="3">
        <v>4160.21</v>
      </c>
      <c r="L394" t="s">
        <v>17</v>
      </c>
      <c r="M394" s="7">
        <f t="shared" si="6"/>
        <v>0.28863888657619402</v>
      </c>
    </row>
    <row r="395" spans="1:13" x14ac:dyDescent="0.35">
      <c r="A395" t="s">
        <v>439</v>
      </c>
      <c r="B395" s="2">
        <v>45895</v>
      </c>
      <c r="C395" t="s">
        <v>19</v>
      </c>
      <c r="D395" t="s">
        <v>14</v>
      </c>
      <c r="E395" t="s">
        <v>46</v>
      </c>
      <c r="F395" t="s">
        <v>47</v>
      </c>
      <c r="G395">
        <v>9</v>
      </c>
      <c r="H395" s="3">
        <v>554.84</v>
      </c>
      <c r="I395" s="3">
        <v>4993.5600000000004</v>
      </c>
      <c r="J395" s="3">
        <v>3778.14</v>
      </c>
      <c r="K395" s="3">
        <v>1215.42</v>
      </c>
      <c r="L395" t="s">
        <v>52</v>
      </c>
      <c r="M395" s="7">
        <f t="shared" si="6"/>
        <v>0.24339749597481555</v>
      </c>
    </row>
    <row r="396" spans="1:13" x14ac:dyDescent="0.35">
      <c r="A396" t="s">
        <v>440</v>
      </c>
      <c r="B396" s="2">
        <v>45935</v>
      </c>
      <c r="C396" t="s">
        <v>29</v>
      </c>
      <c r="D396" t="s">
        <v>20</v>
      </c>
      <c r="E396" t="s">
        <v>21</v>
      </c>
      <c r="F396" t="s">
        <v>101</v>
      </c>
      <c r="G396">
        <v>11</v>
      </c>
      <c r="H396" s="3">
        <v>7963.61</v>
      </c>
      <c r="I396" s="3">
        <v>87599.71</v>
      </c>
      <c r="J396" s="3">
        <v>65915.759999999995</v>
      </c>
      <c r="K396" s="3">
        <v>21683.95</v>
      </c>
      <c r="L396" t="s">
        <v>17</v>
      </c>
      <c r="M396" s="7">
        <f t="shared" si="6"/>
        <v>0.24753449526259846</v>
      </c>
    </row>
    <row r="397" spans="1:13" x14ac:dyDescent="0.35">
      <c r="A397" t="s">
        <v>441</v>
      </c>
      <c r="B397" s="2">
        <v>45847</v>
      </c>
      <c r="C397" t="s">
        <v>42</v>
      </c>
      <c r="D397" t="s">
        <v>30</v>
      </c>
      <c r="E397" t="s">
        <v>26</v>
      </c>
      <c r="F397" t="s">
        <v>49</v>
      </c>
      <c r="G397">
        <v>20</v>
      </c>
      <c r="H397" s="3">
        <v>1365.44</v>
      </c>
      <c r="I397" s="3">
        <v>27308.799999999999</v>
      </c>
      <c r="J397" s="3">
        <v>20721.28</v>
      </c>
      <c r="K397" s="3">
        <v>6587.52</v>
      </c>
      <c r="L397" t="s">
        <v>52</v>
      </c>
      <c r="M397" s="7">
        <f t="shared" si="6"/>
        <v>0.24122334192641201</v>
      </c>
    </row>
    <row r="398" spans="1:13" x14ac:dyDescent="0.35">
      <c r="A398" t="s">
        <v>442</v>
      </c>
      <c r="B398" s="2">
        <v>45841</v>
      </c>
      <c r="C398" t="s">
        <v>42</v>
      </c>
      <c r="D398" t="s">
        <v>33</v>
      </c>
      <c r="E398" t="s">
        <v>21</v>
      </c>
      <c r="F398" t="s">
        <v>101</v>
      </c>
      <c r="G398">
        <v>6</v>
      </c>
      <c r="H398" s="3">
        <v>7998.24</v>
      </c>
      <c r="I398" s="3">
        <v>47989.440000000002</v>
      </c>
      <c r="J398" s="3">
        <v>38808.85</v>
      </c>
      <c r="K398" s="3">
        <v>9180.59</v>
      </c>
      <c r="L398" t="s">
        <v>23</v>
      </c>
      <c r="M398" s="7">
        <f t="shared" si="6"/>
        <v>0.19130437862996524</v>
      </c>
    </row>
    <row r="399" spans="1:13" x14ac:dyDescent="0.35">
      <c r="A399" t="s">
        <v>443</v>
      </c>
      <c r="B399" s="2">
        <v>45718</v>
      </c>
      <c r="C399" t="s">
        <v>42</v>
      </c>
      <c r="D399" t="s">
        <v>20</v>
      </c>
      <c r="E399" t="s">
        <v>26</v>
      </c>
      <c r="F399" t="s">
        <v>31</v>
      </c>
      <c r="G399">
        <v>10</v>
      </c>
      <c r="H399" s="3">
        <v>44939.5</v>
      </c>
      <c r="I399" s="3">
        <v>449395</v>
      </c>
      <c r="J399" s="3">
        <v>328512.25</v>
      </c>
      <c r="K399" s="3">
        <v>120882.75</v>
      </c>
      <c r="L399" t="s">
        <v>23</v>
      </c>
      <c r="M399" s="7">
        <f t="shared" si="6"/>
        <v>0.26898997541138642</v>
      </c>
    </row>
    <row r="400" spans="1:13" x14ac:dyDescent="0.35">
      <c r="A400" t="s">
        <v>444</v>
      </c>
      <c r="B400" s="2">
        <v>45674</v>
      </c>
      <c r="C400" t="s">
        <v>42</v>
      </c>
      <c r="D400" t="s">
        <v>33</v>
      </c>
      <c r="E400" t="s">
        <v>46</v>
      </c>
      <c r="F400" t="s">
        <v>70</v>
      </c>
      <c r="G400">
        <v>11</v>
      </c>
      <c r="H400" s="3">
        <v>2391.58</v>
      </c>
      <c r="I400" s="3">
        <v>26307.38</v>
      </c>
      <c r="J400" s="3">
        <v>17119.88</v>
      </c>
      <c r="K400" s="3">
        <v>9187.5</v>
      </c>
      <c r="L400" t="s">
        <v>17</v>
      </c>
      <c r="M400" s="7">
        <f t="shared" si="6"/>
        <v>0.34923660204855062</v>
      </c>
    </row>
    <row r="401" spans="1:13" x14ac:dyDescent="0.35">
      <c r="A401" t="s">
        <v>445</v>
      </c>
      <c r="B401" s="2">
        <v>45775</v>
      </c>
      <c r="C401" t="s">
        <v>42</v>
      </c>
      <c r="D401" t="s">
        <v>44</v>
      </c>
      <c r="E401" t="s">
        <v>46</v>
      </c>
      <c r="F401" t="s">
        <v>70</v>
      </c>
      <c r="G401">
        <v>5</v>
      </c>
      <c r="H401" s="3">
        <v>2168.9499999999998</v>
      </c>
      <c r="I401" s="3">
        <v>10844.75</v>
      </c>
      <c r="J401" s="3">
        <v>9253.52</v>
      </c>
      <c r="K401" s="3">
        <v>1591.23</v>
      </c>
      <c r="L401" t="s">
        <v>17</v>
      </c>
      <c r="M401" s="7">
        <f t="shared" si="6"/>
        <v>0.14672814034440629</v>
      </c>
    </row>
    <row r="402" spans="1:13" x14ac:dyDescent="0.35">
      <c r="A402" t="s">
        <v>446</v>
      </c>
      <c r="B402" s="2">
        <v>45800</v>
      </c>
      <c r="C402" t="s">
        <v>42</v>
      </c>
      <c r="D402" t="s">
        <v>33</v>
      </c>
      <c r="E402" t="s">
        <v>15</v>
      </c>
      <c r="F402" t="s">
        <v>34</v>
      </c>
      <c r="G402">
        <v>2</v>
      </c>
      <c r="H402" s="3">
        <v>120.34</v>
      </c>
      <c r="I402" s="3">
        <v>240.68</v>
      </c>
      <c r="J402" s="3">
        <v>189.59</v>
      </c>
      <c r="K402" s="3">
        <v>51.09</v>
      </c>
      <c r="L402" t="s">
        <v>23</v>
      </c>
      <c r="M402" s="7">
        <f t="shared" si="6"/>
        <v>0.21227355825162042</v>
      </c>
    </row>
    <row r="403" spans="1:13" x14ac:dyDescent="0.35">
      <c r="A403" t="s">
        <v>447</v>
      </c>
      <c r="B403" s="2">
        <v>45905</v>
      </c>
      <c r="C403" t="s">
        <v>29</v>
      </c>
      <c r="D403" t="s">
        <v>44</v>
      </c>
      <c r="E403" t="s">
        <v>21</v>
      </c>
      <c r="F403" t="s">
        <v>101</v>
      </c>
      <c r="G403">
        <v>12</v>
      </c>
      <c r="H403" s="3">
        <v>7478.52</v>
      </c>
      <c r="I403" s="3">
        <v>89742.24</v>
      </c>
      <c r="J403" s="3">
        <v>67237.75</v>
      </c>
      <c r="K403" s="3">
        <v>22504.49</v>
      </c>
      <c r="L403" t="s">
        <v>23</v>
      </c>
      <c r="M403" s="7">
        <f t="shared" si="6"/>
        <v>0.25076808869491113</v>
      </c>
    </row>
    <row r="404" spans="1:13" x14ac:dyDescent="0.35">
      <c r="A404" t="s">
        <v>448</v>
      </c>
      <c r="B404" s="2">
        <v>45922</v>
      </c>
      <c r="C404" t="s">
        <v>42</v>
      </c>
      <c r="D404" t="s">
        <v>33</v>
      </c>
      <c r="E404" t="s">
        <v>46</v>
      </c>
      <c r="F404" t="s">
        <v>51</v>
      </c>
      <c r="G404">
        <v>8</v>
      </c>
      <c r="H404" s="3">
        <v>3537.43</v>
      </c>
      <c r="I404" s="3">
        <v>28299.439999999999</v>
      </c>
      <c r="J404" s="3">
        <v>22171.58</v>
      </c>
      <c r="K404" s="3">
        <v>6127.86</v>
      </c>
      <c r="L404" t="s">
        <v>17</v>
      </c>
      <c r="M404" s="7">
        <f t="shared" si="6"/>
        <v>0.21653644029705182</v>
      </c>
    </row>
    <row r="405" spans="1:13" x14ac:dyDescent="0.35">
      <c r="A405" t="s">
        <v>449</v>
      </c>
      <c r="B405" s="2">
        <v>45702</v>
      </c>
      <c r="C405" t="s">
        <v>13</v>
      </c>
      <c r="D405" t="s">
        <v>25</v>
      </c>
      <c r="E405" t="s">
        <v>26</v>
      </c>
      <c r="F405" t="s">
        <v>31</v>
      </c>
      <c r="G405">
        <v>8</v>
      </c>
      <c r="H405" s="3">
        <v>44262.37</v>
      </c>
      <c r="I405" s="3">
        <v>354098.96</v>
      </c>
      <c r="J405" s="3">
        <v>292115.8</v>
      </c>
      <c r="K405" s="3">
        <v>61983.16</v>
      </c>
      <c r="L405" t="s">
        <v>17</v>
      </c>
      <c r="M405" s="7">
        <f t="shared" si="6"/>
        <v>0.17504473890575675</v>
      </c>
    </row>
    <row r="406" spans="1:13" x14ac:dyDescent="0.35">
      <c r="A406" t="s">
        <v>450</v>
      </c>
      <c r="B406" s="2">
        <v>45949</v>
      </c>
      <c r="C406" t="s">
        <v>29</v>
      </c>
      <c r="D406" t="s">
        <v>25</v>
      </c>
      <c r="E406" t="s">
        <v>46</v>
      </c>
      <c r="F406" t="s">
        <v>70</v>
      </c>
      <c r="G406">
        <v>2</v>
      </c>
      <c r="H406" s="3">
        <v>2077.04</v>
      </c>
      <c r="I406" s="3">
        <v>4154.08</v>
      </c>
      <c r="J406" s="3">
        <v>2896.37</v>
      </c>
      <c r="K406" s="3">
        <v>1257.71</v>
      </c>
      <c r="L406" t="s">
        <v>17</v>
      </c>
      <c r="M406" s="7">
        <f t="shared" si="6"/>
        <v>0.30276499248931171</v>
      </c>
    </row>
    <row r="407" spans="1:13" x14ac:dyDescent="0.35">
      <c r="A407" t="s">
        <v>451</v>
      </c>
      <c r="B407" s="2">
        <v>45853</v>
      </c>
      <c r="C407" t="s">
        <v>19</v>
      </c>
      <c r="D407" t="s">
        <v>20</v>
      </c>
      <c r="E407" t="s">
        <v>21</v>
      </c>
      <c r="F407" t="s">
        <v>101</v>
      </c>
      <c r="G407">
        <v>6</v>
      </c>
      <c r="H407" s="3">
        <v>8897.15</v>
      </c>
      <c r="I407" s="3">
        <v>53382.9</v>
      </c>
      <c r="J407" s="3">
        <v>44041.47</v>
      </c>
      <c r="K407" s="3">
        <v>9341.43</v>
      </c>
      <c r="L407" t="s">
        <v>52</v>
      </c>
      <c r="M407" s="7">
        <f t="shared" si="6"/>
        <v>0.1749891819290447</v>
      </c>
    </row>
    <row r="408" spans="1:13" x14ac:dyDescent="0.35">
      <c r="A408" t="s">
        <v>452</v>
      </c>
      <c r="B408" s="2">
        <v>46001</v>
      </c>
      <c r="C408" t="s">
        <v>13</v>
      </c>
      <c r="D408" t="s">
        <v>36</v>
      </c>
      <c r="E408" t="s">
        <v>26</v>
      </c>
      <c r="F408" t="s">
        <v>49</v>
      </c>
      <c r="G408">
        <v>8</v>
      </c>
      <c r="H408" s="3">
        <v>1634.39</v>
      </c>
      <c r="I408" s="3">
        <v>13075.12</v>
      </c>
      <c r="J408" s="3">
        <v>11012.99</v>
      </c>
      <c r="K408" s="3">
        <v>2062.13</v>
      </c>
      <c r="L408" t="s">
        <v>23</v>
      </c>
      <c r="M408" s="7">
        <f t="shared" si="6"/>
        <v>0.15771404010058798</v>
      </c>
    </row>
    <row r="409" spans="1:13" x14ac:dyDescent="0.35">
      <c r="A409" t="s">
        <v>453</v>
      </c>
      <c r="B409" s="2">
        <v>45760</v>
      </c>
      <c r="C409" t="s">
        <v>19</v>
      </c>
      <c r="D409" t="s">
        <v>68</v>
      </c>
      <c r="E409" t="s">
        <v>26</v>
      </c>
      <c r="F409" t="s">
        <v>27</v>
      </c>
      <c r="G409">
        <v>12</v>
      </c>
      <c r="H409" s="3">
        <v>11390.28</v>
      </c>
      <c r="I409" s="3">
        <v>136683.35999999999</v>
      </c>
      <c r="J409" s="3">
        <v>100398.56</v>
      </c>
      <c r="K409" s="3">
        <v>36284.800000000003</v>
      </c>
      <c r="L409" t="s">
        <v>17</v>
      </c>
      <c r="M409" s="7">
        <f t="shared" si="6"/>
        <v>0.26546611087114047</v>
      </c>
    </row>
    <row r="410" spans="1:13" x14ac:dyDescent="0.35">
      <c r="A410" t="s">
        <v>454</v>
      </c>
      <c r="B410" s="2">
        <v>45763</v>
      </c>
      <c r="C410" t="s">
        <v>19</v>
      </c>
      <c r="D410" t="s">
        <v>20</v>
      </c>
      <c r="E410" t="s">
        <v>46</v>
      </c>
      <c r="F410" t="s">
        <v>51</v>
      </c>
      <c r="G410">
        <v>16</v>
      </c>
      <c r="H410" s="3">
        <v>3400.23</v>
      </c>
      <c r="I410" s="3">
        <v>54403.68</v>
      </c>
      <c r="J410" s="3">
        <v>35298.76</v>
      </c>
      <c r="K410" s="3">
        <v>19104.919999999998</v>
      </c>
      <c r="L410" t="s">
        <v>52</v>
      </c>
      <c r="M410" s="7">
        <f t="shared" si="6"/>
        <v>0.35116962676054264</v>
      </c>
    </row>
    <row r="411" spans="1:13" x14ac:dyDescent="0.35">
      <c r="A411" t="s">
        <v>455</v>
      </c>
      <c r="B411" s="2">
        <v>45903</v>
      </c>
      <c r="C411" t="s">
        <v>13</v>
      </c>
      <c r="D411" t="s">
        <v>30</v>
      </c>
      <c r="E411" t="s">
        <v>26</v>
      </c>
      <c r="F411" t="s">
        <v>49</v>
      </c>
      <c r="G411">
        <v>9</v>
      </c>
      <c r="H411" s="3">
        <v>1358.92</v>
      </c>
      <c r="I411" s="3">
        <v>12230.28</v>
      </c>
      <c r="J411" s="3">
        <v>9709.9</v>
      </c>
      <c r="K411" s="3">
        <v>2520.38</v>
      </c>
      <c r="L411" t="s">
        <v>52</v>
      </c>
      <c r="M411" s="7">
        <f t="shared" si="6"/>
        <v>0.20607704811337108</v>
      </c>
    </row>
    <row r="412" spans="1:13" x14ac:dyDescent="0.35">
      <c r="A412" t="s">
        <v>456</v>
      </c>
      <c r="B412" s="2">
        <v>45808</v>
      </c>
      <c r="C412" t="s">
        <v>42</v>
      </c>
      <c r="D412" t="s">
        <v>68</v>
      </c>
      <c r="E412" t="s">
        <v>26</v>
      </c>
      <c r="F412" t="s">
        <v>65</v>
      </c>
      <c r="G412">
        <v>9</v>
      </c>
      <c r="H412" s="3">
        <v>769.74</v>
      </c>
      <c r="I412" s="3">
        <v>6927.66</v>
      </c>
      <c r="J412" s="3">
        <v>4491.2</v>
      </c>
      <c r="K412" s="3">
        <v>2436.46</v>
      </c>
      <c r="L412" t="s">
        <v>23</v>
      </c>
      <c r="M412" s="7">
        <f t="shared" si="6"/>
        <v>0.35170028552209548</v>
      </c>
    </row>
    <row r="413" spans="1:13" x14ac:dyDescent="0.35">
      <c r="A413" t="s">
        <v>457</v>
      </c>
      <c r="B413" s="2">
        <v>45901</v>
      </c>
      <c r="C413" t="s">
        <v>19</v>
      </c>
      <c r="D413" t="s">
        <v>20</v>
      </c>
      <c r="E413" t="s">
        <v>21</v>
      </c>
      <c r="F413" t="s">
        <v>63</v>
      </c>
      <c r="G413">
        <v>20</v>
      </c>
      <c r="H413" s="3">
        <v>6792.92</v>
      </c>
      <c r="I413" s="3">
        <v>135858.4</v>
      </c>
      <c r="J413" s="3">
        <v>89120.73</v>
      </c>
      <c r="K413" s="3">
        <v>46737.67</v>
      </c>
      <c r="L413" t="s">
        <v>52</v>
      </c>
      <c r="M413" s="7">
        <f t="shared" si="6"/>
        <v>0.34401752118382078</v>
      </c>
    </row>
    <row r="414" spans="1:13" x14ac:dyDescent="0.35">
      <c r="A414" t="s">
        <v>458</v>
      </c>
      <c r="B414" s="2">
        <v>45840</v>
      </c>
      <c r="C414" t="s">
        <v>42</v>
      </c>
      <c r="D414" t="s">
        <v>39</v>
      </c>
      <c r="E414" t="s">
        <v>15</v>
      </c>
      <c r="F414" t="s">
        <v>34</v>
      </c>
      <c r="G414">
        <v>20</v>
      </c>
      <c r="H414" s="3">
        <v>127.65</v>
      </c>
      <c r="I414" s="3">
        <v>2553</v>
      </c>
      <c r="J414" s="3">
        <v>2094.98</v>
      </c>
      <c r="K414" s="3">
        <v>458.02</v>
      </c>
      <c r="L414" t="s">
        <v>17</v>
      </c>
      <c r="M414" s="7">
        <f t="shared" si="6"/>
        <v>0.17940462201331767</v>
      </c>
    </row>
    <row r="415" spans="1:13" x14ac:dyDescent="0.35">
      <c r="A415" t="s">
        <v>459</v>
      </c>
      <c r="B415" s="2">
        <v>45864</v>
      </c>
      <c r="C415" t="s">
        <v>13</v>
      </c>
      <c r="D415" t="s">
        <v>25</v>
      </c>
      <c r="E415" t="s">
        <v>26</v>
      </c>
      <c r="F415" t="s">
        <v>65</v>
      </c>
      <c r="G415">
        <v>11</v>
      </c>
      <c r="H415" s="3">
        <v>725.35</v>
      </c>
      <c r="I415" s="3">
        <v>7978.85</v>
      </c>
      <c r="J415" s="3">
        <v>6698.33</v>
      </c>
      <c r="K415" s="3">
        <v>1280.52</v>
      </c>
      <c r="L415" t="s">
        <v>52</v>
      </c>
      <c r="M415" s="7">
        <f t="shared" si="6"/>
        <v>0.16048929356987535</v>
      </c>
    </row>
    <row r="416" spans="1:13" x14ac:dyDescent="0.35">
      <c r="A416" t="s">
        <v>460</v>
      </c>
      <c r="B416" s="2">
        <v>45891</v>
      </c>
      <c r="C416" t="s">
        <v>29</v>
      </c>
      <c r="D416" t="s">
        <v>36</v>
      </c>
      <c r="E416" t="s">
        <v>46</v>
      </c>
      <c r="F416" t="s">
        <v>51</v>
      </c>
      <c r="G416">
        <v>15</v>
      </c>
      <c r="H416" s="3">
        <v>3252.56</v>
      </c>
      <c r="I416" s="3">
        <v>48788.4</v>
      </c>
      <c r="J416" s="3">
        <v>32949.230000000003</v>
      </c>
      <c r="K416" s="3">
        <v>15839.17</v>
      </c>
      <c r="L416" t="s">
        <v>23</v>
      </c>
      <c r="M416" s="7">
        <f t="shared" si="6"/>
        <v>0.3246503267170065</v>
      </c>
    </row>
    <row r="417" spans="1:13" x14ac:dyDescent="0.35">
      <c r="A417" t="s">
        <v>461</v>
      </c>
      <c r="B417" s="2">
        <v>45709</v>
      </c>
      <c r="C417" t="s">
        <v>42</v>
      </c>
      <c r="D417" t="s">
        <v>44</v>
      </c>
      <c r="E417" t="s">
        <v>15</v>
      </c>
      <c r="F417" t="s">
        <v>37</v>
      </c>
      <c r="G417">
        <v>13</v>
      </c>
      <c r="H417" s="3">
        <v>371.99</v>
      </c>
      <c r="I417" s="3">
        <v>4835.87</v>
      </c>
      <c r="J417" s="3">
        <v>3544.79</v>
      </c>
      <c r="K417" s="3">
        <v>1291.08</v>
      </c>
      <c r="L417" t="s">
        <v>17</v>
      </c>
      <c r="M417" s="7">
        <f t="shared" si="6"/>
        <v>0.26697988159317765</v>
      </c>
    </row>
    <row r="418" spans="1:13" x14ac:dyDescent="0.35">
      <c r="A418" t="s">
        <v>462</v>
      </c>
      <c r="B418" s="2">
        <v>45966</v>
      </c>
      <c r="C418" t="s">
        <v>29</v>
      </c>
      <c r="D418" t="s">
        <v>14</v>
      </c>
      <c r="E418" t="s">
        <v>15</v>
      </c>
      <c r="F418" t="s">
        <v>34</v>
      </c>
      <c r="G418">
        <v>14</v>
      </c>
      <c r="H418" s="3">
        <v>124.56</v>
      </c>
      <c r="I418" s="3">
        <v>1743.84</v>
      </c>
      <c r="J418" s="3">
        <v>1349</v>
      </c>
      <c r="K418" s="3">
        <v>394.84</v>
      </c>
      <c r="L418" t="s">
        <v>23</v>
      </c>
      <c r="M418" s="7">
        <f t="shared" si="6"/>
        <v>0.22641985503257178</v>
      </c>
    </row>
    <row r="419" spans="1:13" x14ac:dyDescent="0.35">
      <c r="A419" t="s">
        <v>463</v>
      </c>
      <c r="B419" s="2">
        <v>45884</v>
      </c>
      <c r="C419" t="s">
        <v>13</v>
      </c>
      <c r="D419" t="s">
        <v>14</v>
      </c>
      <c r="E419" t="s">
        <v>21</v>
      </c>
      <c r="F419" t="s">
        <v>22</v>
      </c>
      <c r="G419">
        <v>14</v>
      </c>
      <c r="H419" s="3">
        <v>10116.879999999999</v>
      </c>
      <c r="I419" s="3">
        <v>141636.32</v>
      </c>
      <c r="J419" s="3">
        <v>90218.73</v>
      </c>
      <c r="K419" s="3">
        <v>51417.59</v>
      </c>
      <c r="L419" t="s">
        <v>52</v>
      </c>
      <c r="M419" s="7">
        <f t="shared" si="6"/>
        <v>0.36302545844173301</v>
      </c>
    </row>
    <row r="420" spans="1:13" x14ac:dyDescent="0.35">
      <c r="A420" t="s">
        <v>464</v>
      </c>
      <c r="B420" s="2">
        <v>45920</v>
      </c>
      <c r="C420" t="s">
        <v>13</v>
      </c>
      <c r="D420" t="s">
        <v>54</v>
      </c>
      <c r="E420" t="s">
        <v>26</v>
      </c>
      <c r="F420" t="s">
        <v>31</v>
      </c>
      <c r="G420">
        <v>8</v>
      </c>
      <c r="H420" s="3">
        <v>49935.47</v>
      </c>
      <c r="I420" s="3">
        <v>399483.76</v>
      </c>
      <c r="J420" s="3">
        <v>260388.28</v>
      </c>
      <c r="K420" s="3">
        <v>139095.48000000001</v>
      </c>
      <c r="L420" t="s">
        <v>23</v>
      </c>
      <c r="M420" s="7">
        <f t="shared" si="6"/>
        <v>0.34818807152511033</v>
      </c>
    </row>
    <row r="421" spans="1:13" x14ac:dyDescent="0.35">
      <c r="A421" t="s">
        <v>465</v>
      </c>
      <c r="B421" s="2">
        <v>45696</v>
      </c>
      <c r="C421" t="s">
        <v>29</v>
      </c>
      <c r="D421" t="s">
        <v>25</v>
      </c>
      <c r="E421" t="s">
        <v>46</v>
      </c>
      <c r="F421" t="s">
        <v>47</v>
      </c>
      <c r="G421">
        <v>13</v>
      </c>
      <c r="H421" s="3">
        <v>540.78</v>
      </c>
      <c r="I421" s="3">
        <v>7030.14</v>
      </c>
      <c r="J421" s="3">
        <v>5607.72</v>
      </c>
      <c r="K421" s="3">
        <v>1422.42</v>
      </c>
      <c r="L421" t="s">
        <v>52</v>
      </c>
      <c r="M421" s="7">
        <f t="shared" si="6"/>
        <v>0.20233167476038885</v>
      </c>
    </row>
    <row r="422" spans="1:13" x14ac:dyDescent="0.35">
      <c r="A422" t="s">
        <v>466</v>
      </c>
      <c r="B422" s="2">
        <v>45745</v>
      </c>
      <c r="C422" t="s">
        <v>42</v>
      </c>
      <c r="D422" t="s">
        <v>14</v>
      </c>
      <c r="E422" t="s">
        <v>15</v>
      </c>
      <c r="F422" t="s">
        <v>34</v>
      </c>
      <c r="G422">
        <v>7</v>
      </c>
      <c r="H422" s="3">
        <v>123.22</v>
      </c>
      <c r="I422" s="3">
        <v>862.54</v>
      </c>
      <c r="J422" s="3">
        <v>580.97</v>
      </c>
      <c r="K422" s="3">
        <v>281.57</v>
      </c>
      <c r="L422" t="s">
        <v>52</v>
      </c>
      <c r="M422" s="7">
        <f t="shared" si="6"/>
        <v>0.32644283163679366</v>
      </c>
    </row>
    <row r="423" spans="1:13" x14ac:dyDescent="0.35">
      <c r="A423" t="s">
        <v>467</v>
      </c>
      <c r="B423" s="2">
        <v>45877</v>
      </c>
      <c r="C423" t="s">
        <v>19</v>
      </c>
      <c r="D423" t="s">
        <v>36</v>
      </c>
      <c r="E423" t="s">
        <v>46</v>
      </c>
      <c r="F423" t="s">
        <v>51</v>
      </c>
      <c r="G423">
        <v>7</v>
      </c>
      <c r="H423" s="3">
        <v>3162.9</v>
      </c>
      <c r="I423" s="3">
        <v>22140.3</v>
      </c>
      <c r="J423" s="3">
        <v>18538.98</v>
      </c>
      <c r="K423" s="3">
        <v>3601.32</v>
      </c>
      <c r="L423" t="s">
        <v>52</v>
      </c>
      <c r="M423" s="7">
        <f t="shared" si="6"/>
        <v>0.16265904256039893</v>
      </c>
    </row>
    <row r="424" spans="1:13" x14ac:dyDescent="0.35">
      <c r="A424" t="s">
        <v>468</v>
      </c>
      <c r="B424" s="2">
        <v>45959</v>
      </c>
      <c r="C424" t="s">
        <v>13</v>
      </c>
      <c r="D424" t="s">
        <v>25</v>
      </c>
      <c r="E424" t="s">
        <v>21</v>
      </c>
      <c r="F424" t="s">
        <v>63</v>
      </c>
      <c r="G424">
        <v>13</v>
      </c>
      <c r="H424" s="3">
        <v>6617.72</v>
      </c>
      <c r="I424" s="3">
        <v>86030.36</v>
      </c>
      <c r="J424" s="3">
        <v>70850.600000000006</v>
      </c>
      <c r="K424" s="3">
        <v>15179.76</v>
      </c>
      <c r="L424" t="s">
        <v>17</v>
      </c>
      <c r="M424" s="7">
        <f t="shared" si="6"/>
        <v>0.1764465474746357</v>
      </c>
    </row>
    <row r="425" spans="1:13" x14ac:dyDescent="0.35">
      <c r="A425" t="s">
        <v>469</v>
      </c>
      <c r="B425" s="2">
        <v>45999</v>
      </c>
      <c r="C425" t="s">
        <v>13</v>
      </c>
      <c r="D425" t="s">
        <v>44</v>
      </c>
      <c r="E425" t="s">
        <v>21</v>
      </c>
      <c r="F425" t="s">
        <v>101</v>
      </c>
      <c r="G425">
        <v>19</v>
      </c>
      <c r="H425" s="3">
        <v>7721.31</v>
      </c>
      <c r="I425" s="3">
        <v>146704.89000000001</v>
      </c>
      <c r="J425" s="3">
        <v>120472.82</v>
      </c>
      <c r="K425" s="3">
        <v>26232.07</v>
      </c>
      <c r="L425" t="s">
        <v>52</v>
      </c>
      <c r="M425" s="7">
        <f t="shared" si="6"/>
        <v>0.1788084228139907</v>
      </c>
    </row>
    <row r="426" spans="1:13" x14ac:dyDescent="0.35">
      <c r="A426" t="s">
        <v>470</v>
      </c>
      <c r="B426" s="2">
        <v>45739</v>
      </c>
      <c r="C426" t="s">
        <v>42</v>
      </c>
      <c r="D426" t="s">
        <v>36</v>
      </c>
      <c r="E426" t="s">
        <v>46</v>
      </c>
      <c r="F426" t="s">
        <v>47</v>
      </c>
      <c r="G426">
        <v>14</v>
      </c>
      <c r="H426" s="3">
        <v>622.20000000000005</v>
      </c>
      <c r="I426" s="3">
        <v>8710.7999999999993</v>
      </c>
      <c r="J426" s="3">
        <v>5491.15</v>
      </c>
      <c r="K426" s="3">
        <v>3219.65</v>
      </c>
      <c r="L426" t="s">
        <v>17</v>
      </c>
      <c r="M426" s="7">
        <f t="shared" si="6"/>
        <v>0.36961587913854071</v>
      </c>
    </row>
    <row r="427" spans="1:13" x14ac:dyDescent="0.35">
      <c r="A427" t="s">
        <v>471</v>
      </c>
      <c r="B427" s="2">
        <v>45966</v>
      </c>
      <c r="C427" t="s">
        <v>42</v>
      </c>
      <c r="D427" t="s">
        <v>25</v>
      </c>
      <c r="E427" t="s">
        <v>21</v>
      </c>
      <c r="F427" t="s">
        <v>22</v>
      </c>
      <c r="G427">
        <v>15</v>
      </c>
      <c r="H427" s="3">
        <v>10574.67</v>
      </c>
      <c r="I427" s="3">
        <v>158620.04999999999</v>
      </c>
      <c r="J427" s="3">
        <v>104198.68</v>
      </c>
      <c r="K427" s="3">
        <v>54421.37</v>
      </c>
      <c r="L427" t="s">
        <v>52</v>
      </c>
      <c r="M427" s="7">
        <f t="shared" si="6"/>
        <v>0.34309262921049394</v>
      </c>
    </row>
    <row r="428" spans="1:13" x14ac:dyDescent="0.35">
      <c r="A428" t="s">
        <v>472</v>
      </c>
      <c r="B428" s="2">
        <v>45735</v>
      </c>
      <c r="C428" t="s">
        <v>29</v>
      </c>
      <c r="D428" t="s">
        <v>25</v>
      </c>
      <c r="E428" t="s">
        <v>46</v>
      </c>
      <c r="F428" t="s">
        <v>51</v>
      </c>
      <c r="G428">
        <v>4</v>
      </c>
      <c r="H428" s="3">
        <v>3423.13</v>
      </c>
      <c r="I428" s="3">
        <v>13692.52</v>
      </c>
      <c r="J428" s="3">
        <v>10016.700000000001</v>
      </c>
      <c r="K428" s="3">
        <v>3675.82</v>
      </c>
      <c r="L428" t="s">
        <v>52</v>
      </c>
      <c r="M428" s="7">
        <f t="shared" si="6"/>
        <v>0.26845460149044881</v>
      </c>
    </row>
    <row r="429" spans="1:13" x14ac:dyDescent="0.35">
      <c r="A429" t="s">
        <v>473</v>
      </c>
      <c r="B429" s="2">
        <v>46015</v>
      </c>
      <c r="C429" t="s">
        <v>13</v>
      </c>
      <c r="D429" t="s">
        <v>39</v>
      </c>
      <c r="E429" t="s">
        <v>15</v>
      </c>
      <c r="F429" t="s">
        <v>34</v>
      </c>
      <c r="G429">
        <v>16</v>
      </c>
      <c r="H429" s="3">
        <v>128.25</v>
      </c>
      <c r="I429" s="3">
        <v>2052</v>
      </c>
      <c r="J429" s="3">
        <v>1658.14</v>
      </c>
      <c r="K429" s="3">
        <v>393.86</v>
      </c>
      <c r="L429" t="s">
        <v>52</v>
      </c>
      <c r="M429" s="7">
        <f t="shared" si="6"/>
        <v>0.19193957115009747</v>
      </c>
    </row>
    <row r="430" spans="1:13" x14ac:dyDescent="0.35">
      <c r="A430" t="s">
        <v>474</v>
      </c>
      <c r="B430" s="2">
        <v>45987</v>
      </c>
      <c r="C430" t="s">
        <v>42</v>
      </c>
      <c r="D430" t="s">
        <v>25</v>
      </c>
      <c r="E430" t="s">
        <v>15</v>
      </c>
      <c r="F430" t="s">
        <v>37</v>
      </c>
      <c r="G430">
        <v>2</v>
      </c>
      <c r="H430" s="3">
        <v>356.57</v>
      </c>
      <c r="I430" s="3">
        <v>713.14</v>
      </c>
      <c r="J430" s="3">
        <v>479.16</v>
      </c>
      <c r="K430" s="3">
        <v>233.98</v>
      </c>
      <c r="L430" t="s">
        <v>17</v>
      </c>
      <c r="M430" s="7">
        <f t="shared" si="6"/>
        <v>0.32809826962447763</v>
      </c>
    </row>
    <row r="431" spans="1:13" x14ac:dyDescent="0.35">
      <c r="A431" t="s">
        <v>475</v>
      </c>
      <c r="B431" s="2">
        <v>45984</v>
      </c>
      <c r="C431" t="s">
        <v>42</v>
      </c>
      <c r="D431" t="s">
        <v>36</v>
      </c>
      <c r="E431" t="s">
        <v>26</v>
      </c>
      <c r="F431" t="s">
        <v>65</v>
      </c>
      <c r="G431">
        <v>1</v>
      </c>
      <c r="H431" s="3">
        <v>638.82000000000005</v>
      </c>
      <c r="I431" s="3">
        <v>638.82000000000005</v>
      </c>
      <c r="J431" s="3">
        <v>426.91</v>
      </c>
      <c r="K431" s="3">
        <v>211.91</v>
      </c>
      <c r="L431" t="s">
        <v>52</v>
      </c>
      <c r="M431" s="7">
        <f t="shared" si="6"/>
        <v>0.33172098556713936</v>
      </c>
    </row>
    <row r="432" spans="1:13" x14ac:dyDescent="0.35">
      <c r="A432" t="s">
        <v>476</v>
      </c>
      <c r="B432" s="2">
        <v>45748</v>
      </c>
      <c r="C432" t="s">
        <v>42</v>
      </c>
      <c r="D432" t="s">
        <v>33</v>
      </c>
      <c r="E432" t="s">
        <v>26</v>
      </c>
      <c r="F432" t="s">
        <v>49</v>
      </c>
      <c r="G432">
        <v>18</v>
      </c>
      <c r="H432" s="3">
        <v>1659.64</v>
      </c>
      <c r="I432" s="3">
        <v>29873.52</v>
      </c>
      <c r="J432" s="3">
        <v>23701.24</v>
      </c>
      <c r="K432" s="3">
        <v>6172.28</v>
      </c>
      <c r="L432" t="s">
        <v>17</v>
      </c>
      <c r="M432" s="7">
        <f t="shared" si="6"/>
        <v>0.20661375023766868</v>
      </c>
    </row>
    <row r="433" spans="1:13" x14ac:dyDescent="0.35">
      <c r="A433" t="s">
        <v>477</v>
      </c>
      <c r="B433" s="2">
        <v>45840</v>
      </c>
      <c r="C433" t="s">
        <v>29</v>
      </c>
      <c r="D433" t="s">
        <v>68</v>
      </c>
      <c r="E433" t="s">
        <v>46</v>
      </c>
      <c r="F433" t="s">
        <v>47</v>
      </c>
      <c r="G433">
        <v>10</v>
      </c>
      <c r="H433" s="3">
        <v>573.26</v>
      </c>
      <c r="I433" s="3">
        <v>5732.6</v>
      </c>
      <c r="J433" s="3">
        <v>4259.5600000000004</v>
      </c>
      <c r="K433" s="3">
        <v>1473.04</v>
      </c>
      <c r="L433" t="s">
        <v>17</v>
      </c>
      <c r="M433" s="7">
        <f t="shared" si="6"/>
        <v>0.25695844817360358</v>
      </c>
    </row>
    <row r="434" spans="1:13" x14ac:dyDescent="0.35">
      <c r="A434" t="s">
        <v>478</v>
      </c>
      <c r="B434" s="2">
        <v>45983</v>
      </c>
      <c r="C434" t="s">
        <v>19</v>
      </c>
      <c r="D434" t="s">
        <v>20</v>
      </c>
      <c r="E434" t="s">
        <v>15</v>
      </c>
      <c r="F434" t="s">
        <v>34</v>
      </c>
      <c r="G434">
        <v>20</v>
      </c>
      <c r="H434" s="3">
        <v>114.24</v>
      </c>
      <c r="I434" s="3">
        <v>2284.8000000000002</v>
      </c>
      <c r="J434" s="3">
        <v>1527.08</v>
      </c>
      <c r="K434" s="3">
        <v>757.72</v>
      </c>
      <c r="L434" t="s">
        <v>17</v>
      </c>
      <c r="M434" s="7">
        <f t="shared" si="6"/>
        <v>0.33163515406162464</v>
      </c>
    </row>
    <row r="435" spans="1:13" x14ac:dyDescent="0.35">
      <c r="A435" t="s">
        <v>479</v>
      </c>
      <c r="B435" s="2">
        <v>45834</v>
      </c>
      <c r="C435" t="s">
        <v>13</v>
      </c>
      <c r="D435" t="s">
        <v>33</v>
      </c>
      <c r="E435" t="s">
        <v>21</v>
      </c>
      <c r="F435" t="s">
        <v>63</v>
      </c>
      <c r="G435">
        <v>19</v>
      </c>
      <c r="H435" s="3">
        <v>7032.65</v>
      </c>
      <c r="I435" s="3">
        <v>133620.35</v>
      </c>
      <c r="J435" s="3">
        <v>96859.95</v>
      </c>
      <c r="K435" s="3">
        <v>36760.400000000001</v>
      </c>
      <c r="L435" t="s">
        <v>17</v>
      </c>
      <c r="M435" s="7">
        <f t="shared" si="6"/>
        <v>0.2751107896364588</v>
      </c>
    </row>
    <row r="436" spans="1:13" x14ac:dyDescent="0.35">
      <c r="A436" t="s">
        <v>480</v>
      </c>
      <c r="B436" s="2">
        <v>45697</v>
      </c>
      <c r="C436" t="s">
        <v>13</v>
      </c>
      <c r="D436" t="s">
        <v>54</v>
      </c>
      <c r="E436" t="s">
        <v>26</v>
      </c>
      <c r="F436" t="s">
        <v>65</v>
      </c>
      <c r="G436">
        <v>13</v>
      </c>
      <c r="H436" s="3">
        <v>689.64</v>
      </c>
      <c r="I436" s="3">
        <v>8965.32</v>
      </c>
      <c r="J436" s="3">
        <v>6655.08</v>
      </c>
      <c r="K436" s="3">
        <v>2310.2399999999998</v>
      </c>
      <c r="L436" t="s">
        <v>17</v>
      </c>
      <c r="M436" s="7">
        <f t="shared" si="6"/>
        <v>0.25768628448287401</v>
      </c>
    </row>
    <row r="437" spans="1:13" x14ac:dyDescent="0.35">
      <c r="A437" t="s">
        <v>481</v>
      </c>
      <c r="B437" s="2">
        <v>46004</v>
      </c>
      <c r="C437" t="s">
        <v>13</v>
      </c>
      <c r="D437" t="s">
        <v>54</v>
      </c>
      <c r="E437" t="s">
        <v>26</v>
      </c>
      <c r="F437" t="s">
        <v>49</v>
      </c>
      <c r="G437">
        <v>20</v>
      </c>
      <c r="H437" s="3">
        <v>1679.65</v>
      </c>
      <c r="I437" s="3">
        <v>33593</v>
      </c>
      <c r="J437" s="3">
        <v>21632.85</v>
      </c>
      <c r="K437" s="3">
        <v>11960.15</v>
      </c>
      <c r="L437" t="s">
        <v>23</v>
      </c>
      <c r="M437" s="7">
        <f t="shared" si="6"/>
        <v>0.35603101836692169</v>
      </c>
    </row>
    <row r="438" spans="1:13" x14ac:dyDescent="0.35">
      <c r="A438" t="s">
        <v>482</v>
      </c>
      <c r="B438" s="2">
        <v>45810</v>
      </c>
      <c r="C438" t="s">
        <v>42</v>
      </c>
      <c r="D438" t="s">
        <v>20</v>
      </c>
      <c r="E438" t="s">
        <v>26</v>
      </c>
      <c r="F438" t="s">
        <v>65</v>
      </c>
      <c r="G438">
        <v>10</v>
      </c>
      <c r="H438" s="3">
        <v>683.16</v>
      </c>
      <c r="I438" s="3">
        <v>6831.6</v>
      </c>
      <c r="J438" s="3">
        <v>5847.44</v>
      </c>
      <c r="K438" s="3">
        <v>984.16</v>
      </c>
      <c r="L438" t="s">
        <v>23</v>
      </c>
      <c r="M438" s="7">
        <f t="shared" si="6"/>
        <v>0.14405995667193627</v>
      </c>
    </row>
    <row r="439" spans="1:13" x14ac:dyDescent="0.35">
      <c r="A439" t="s">
        <v>483</v>
      </c>
      <c r="B439" s="2">
        <v>45946</v>
      </c>
      <c r="C439" t="s">
        <v>13</v>
      </c>
      <c r="D439" t="s">
        <v>33</v>
      </c>
      <c r="E439" t="s">
        <v>21</v>
      </c>
      <c r="F439" t="s">
        <v>101</v>
      </c>
      <c r="G439">
        <v>1</v>
      </c>
      <c r="H439" s="3">
        <v>8876.09</v>
      </c>
      <c r="I439" s="3">
        <v>8876.09</v>
      </c>
      <c r="J439" s="3">
        <v>6625.9</v>
      </c>
      <c r="K439" s="3">
        <v>2250.19</v>
      </c>
      <c r="L439" t="s">
        <v>17</v>
      </c>
      <c r="M439" s="7">
        <f t="shared" si="6"/>
        <v>0.25351139972668146</v>
      </c>
    </row>
    <row r="440" spans="1:13" x14ac:dyDescent="0.35">
      <c r="A440" t="s">
        <v>484</v>
      </c>
      <c r="B440" s="2">
        <v>45700</v>
      </c>
      <c r="C440" t="s">
        <v>42</v>
      </c>
      <c r="D440" t="s">
        <v>36</v>
      </c>
      <c r="E440" t="s">
        <v>26</v>
      </c>
      <c r="F440" t="s">
        <v>49</v>
      </c>
      <c r="G440">
        <v>6</v>
      </c>
      <c r="H440" s="3">
        <v>1603.76</v>
      </c>
      <c r="I440" s="3">
        <v>9622.56</v>
      </c>
      <c r="J440" s="3">
        <v>8057.11</v>
      </c>
      <c r="K440" s="3">
        <v>1565.45</v>
      </c>
      <c r="L440" t="s">
        <v>17</v>
      </c>
      <c r="M440" s="7">
        <f t="shared" si="6"/>
        <v>0.16268539764885853</v>
      </c>
    </row>
    <row r="441" spans="1:13" x14ac:dyDescent="0.35">
      <c r="A441" t="s">
        <v>485</v>
      </c>
      <c r="B441" s="2">
        <v>45812</v>
      </c>
      <c r="C441" t="s">
        <v>29</v>
      </c>
      <c r="D441" t="s">
        <v>39</v>
      </c>
      <c r="E441" t="s">
        <v>26</v>
      </c>
      <c r="F441" t="s">
        <v>31</v>
      </c>
      <c r="G441">
        <v>11</v>
      </c>
      <c r="H441" s="3">
        <v>48245.27</v>
      </c>
      <c r="I441" s="3">
        <v>530697.97</v>
      </c>
      <c r="J441" s="3">
        <v>420844.09</v>
      </c>
      <c r="K441" s="3">
        <v>109853.88</v>
      </c>
      <c r="L441" t="s">
        <v>23</v>
      </c>
      <c r="M441" s="7">
        <f t="shared" si="6"/>
        <v>0.20699886980913082</v>
      </c>
    </row>
    <row r="442" spans="1:13" x14ac:dyDescent="0.35">
      <c r="A442" t="s">
        <v>486</v>
      </c>
      <c r="B442" s="2">
        <v>45740</v>
      </c>
      <c r="C442" t="s">
        <v>13</v>
      </c>
      <c r="D442" t="s">
        <v>44</v>
      </c>
      <c r="E442" t="s">
        <v>46</v>
      </c>
      <c r="F442" t="s">
        <v>70</v>
      </c>
      <c r="G442">
        <v>11</v>
      </c>
      <c r="H442" s="3">
        <v>2441.9</v>
      </c>
      <c r="I442" s="3">
        <v>26860.9</v>
      </c>
      <c r="J442" s="3">
        <v>19188.03</v>
      </c>
      <c r="K442" s="3">
        <v>7672.87</v>
      </c>
      <c r="L442" t="s">
        <v>52</v>
      </c>
      <c r="M442" s="7">
        <f t="shared" si="6"/>
        <v>0.2856520071926108</v>
      </c>
    </row>
    <row r="443" spans="1:13" x14ac:dyDescent="0.35">
      <c r="A443" t="s">
        <v>487</v>
      </c>
      <c r="B443" s="2">
        <v>45683</v>
      </c>
      <c r="C443" t="s">
        <v>13</v>
      </c>
      <c r="D443" t="s">
        <v>54</v>
      </c>
      <c r="E443" t="s">
        <v>15</v>
      </c>
      <c r="F443" t="s">
        <v>37</v>
      </c>
      <c r="G443">
        <v>19</v>
      </c>
      <c r="H443" s="3">
        <v>319.86</v>
      </c>
      <c r="I443" s="3">
        <v>6077.34</v>
      </c>
      <c r="J443" s="3">
        <v>4295.75</v>
      </c>
      <c r="K443" s="3">
        <v>1781.59</v>
      </c>
      <c r="L443" t="s">
        <v>23</v>
      </c>
      <c r="M443" s="7">
        <f t="shared" si="6"/>
        <v>0.2931529254575192</v>
      </c>
    </row>
    <row r="444" spans="1:13" x14ac:dyDescent="0.35">
      <c r="A444" t="s">
        <v>488</v>
      </c>
      <c r="B444" s="2">
        <v>45678</v>
      </c>
      <c r="C444" t="s">
        <v>42</v>
      </c>
      <c r="D444" t="s">
        <v>39</v>
      </c>
      <c r="E444" t="s">
        <v>46</v>
      </c>
      <c r="F444" t="s">
        <v>70</v>
      </c>
      <c r="G444">
        <v>11</v>
      </c>
      <c r="H444" s="3">
        <v>2107.5700000000002</v>
      </c>
      <c r="I444" s="3">
        <v>23183.27</v>
      </c>
      <c r="J444" s="3">
        <v>16801.86</v>
      </c>
      <c r="K444" s="3">
        <v>6381.41</v>
      </c>
      <c r="L444" t="s">
        <v>23</v>
      </c>
      <c r="M444" s="7">
        <f t="shared" si="6"/>
        <v>0.27525927101741904</v>
      </c>
    </row>
    <row r="445" spans="1:13" x14ac:dyDescent="0.35">
      <c r="A445" t="s">
        <v>489</v>
      </c>
      <c r="B445" s="2">
        <v>45677</v>
      </c>
      <c r="C445" t="s">
        <v>19</v>
      </c>
      <c r="D445" t="s">
        <v>54</v>
      </c>
      <c r="E445" t="s">
        <v>21</v>
      </c>
      <c r="F445" t="s">
        <v>22</v>
      </c>
      <c r="G445">
        <v>15</v>
      </c>
      <c r="H445" s="3">
        <v>10260.82</v>
      </c>
      <c r="I445" s="3">
        <v>153912.29999999999</v>
      </c>
      <c r="J445" s="3">
        <v>104648.29</v>
      </c>
      <c r="K445" s="3">
        <v>49264.01</v>
      </c>
      <c r="L445" t="s">
        <v>17</v>
      </c>
      <c r="M445" s="7">
        <f t="shared" si="6"/>
        <v>0.32007844727159562</v>
      </c>
    </row>
    <row r="446" spans="1:13" x14ac:dyDescent="0.35">
      <c r="A446" t="s">
        <v>490</v>
      </c>
      <c r="B446" s="2">
        <v>45741</v>
      </c>
      <c r="C446" t="s">
        <v>13</v>
      </c>
      <c r="D446" t="s">
        <v>54</v>
      </c>
      <c r="E446" t="s">
        <v>21</v>
      </c>
      <c r="F446" t="s">
        <v>63</v>
      </c>
      <c r="G446">
        <v>12</v>
      </c>
      <c r="H446" s="3">
        <v>6841.6</v>
      </c>
      <c r="I446" s="3">
        <v>82099.199999999997</v>
      </c>
      <c r="J446" s="3">
        <v>53241.13</v>
      </c>
      <c r="K446" s="3">
        <v>28858.07</v>
      </c>
      <c r="L446" t="s">
        <v>17</v>
      </c>
      <c r="M446" s="7">
        <f t="shared" si="6"/>
        <v>0.35150245069379482</v>
      </c>
    </row>
    <row r="447" spans="1:13" x14ac:dyDescent="0.35">
      <c r="A447" t="s">
        <v>491</v>
      </c>
      <c r="B447" s="2">
        <v>45890</v>
      </c>
      <c r="C447" t="s">
        <v>42</v>
      </c>
      <c r="D447" t="s">
        <v>25</v>
      </c>
      <c r="E447" t="s">
        <v>26</v>
      </c>
      <c r="F447" t="s">
        <v>31</v>
      </c>
      <c r="G447">
        <v>20</v>
      </c>
      <c r="H447" s="3">
        <v>44449.59</v>
      </c>
      <c r="I447" s="3">
        <v>888991.8</v>
      </c>
      <c r="J447" s="3">
        <v>709643.93</v>
      </c>
      <c r="K447" s="3">
        <v>179347.87</v>
      </c>
      <c r="L447" t="s">
        <v>23</v>
      </c>
      <c r="M447" s="7">
        <f t="shared" si="6"/>
        <v>0.20174299695452758</v>
      </c>
    </row>
    <row r="448" spans="1:13" x14ac:dyDescent="0.35">
      <c r="A448" t="s">
        <v>492</v>
      </c>
      <c r="B448" s="2">
        <v>45953</v>
      </c>
      <c r="C448" t="s">
        <v>29</v>
      </c>
      <c r="D448" t="s">
        <v>25</v>
      </c>
      <c r="E448" t="s">
        <v>15</v>
      </c>
      <c r="F448" t="s">
        <v>37</v>
      </c>
      <c r="G448">
        <v>12</v>
      </c>
      <c r="H448" s="3">
        <v>345.72</v>
      </c>
      <c r="I448" s="3">
        <v>4148.6400000000003</v>
      </c>
      <c r="J448" s="3">
        <v>2898.12</v>
      </c>
      <c r="K448" s="3">
        <v>1250.52</v>
      </c>
      <c r="L448" t="s">
        <v>17</v>
      </c>
      <c r="M448" s="7">
        <f t="shared" si="6"/>
        <v>0.30142890200161976</v>
      </c>
    </row>
    <row r="449" spans="1:13" x14ac:dyDescent="0.35">
      <c r="A449" t="s">
        <v>493</v>
      </c>
      <c r="B449" s="2">
        <v>45979</v>
      </c>
      <c r="C449" t="s">
        <v>42</v>
      </c>
      <c r="D449" t="s">
        <v>25</v>
      </c>
      <c r="E449" t="s">
        <v>21</v>
      </c>
      <c r="F449" t="s">
        <v>101</v>
      </c>
      <c r="G449">
        <v>1</v>
      </c>
      <c r="H449" s="3">
        <v>7390.25</v>
      </c>
      <c r="I449" s="3">
        <v>7390.25</v>
      </c>
      <c r="J449" s="3">
        <v>4660.72</v>
      </c>
      <c r="K449" s="3">
        <v>2729.53</v>
      </c>
      <c r="L449" t="s">
        <v>52</v>
      </c>
      <c r="M449" s="7">
        <f t="shared" si="6"/>
        <v>0.36934203849666791</v>
      </c>
    </row>
    <row r="450" spans="1:13" x14ac:dyDescent="0.35">
      <c r="A450" t="s">
        <v>494</v>
      </c>
      <c r="B450" s="2">
        <v>45817</v>
      </c>
      <c r="C450" t="s">
        <v>29</v>
      </c>
      <c r="D450" t="s">
        <v>44</v>
      </c>
      <c r="E450" t="s">
        <v>15</v>
      </c>
      <c r="F450" t="s">
        <v>34</v>
      </c>
      <c r="G450">
        <v>2</v>
      </c>
      <c r="H450" s="3">
        <v>125.33</v>
      </c>
      <c r="I450" s="3">
        <v>250.66</v>
      </c>
      <c r="J450" s="3">
        <v>175.26</v>
      </c>
      <c r="K450" s="3">
        <v>75.400000000000006</v>
      </c>
      <c r="L450" t="s">
        <v>52</v>
      </c>
      <c r="M450" s="7">
        <f t="shared" ref="M450:M513" si="7">K450/I450</f>
        <v>0.30080587249660901</v>
      </c>
    </row>
    <row r="451" spans="1:13" x14ac:dyDescent="0.35">
      <c r="A451" t="s">
        <v>495</v>
      </c>
      <c r="B451" s="2">
        <v>45732</v>
      </c>
      <c r="C451" t="s">
        <v>42</v>
      </c>
      <c r="D451" t="s">
        <v>14</v>
      </c>
      <c r="E451" t="s">
        <v>21</v>
      </c>
      <c r="F451" t="s">
        <v>63</v>
      </c>
      <c r="G451">
        <v>2</v>
      </c>
      <c r="H451" s="3">
        <v>5853.88</v>
      </c>
      <c r="I451" s="3">
        <v>11707.76</v>
      </c>
      <c r="J451" s="3">
        <v>7814.53</v>
      </c>
      <c r="K451" s="3">
        <v>3893.23</v>
      </c>
      <c r="L451" t="s">
        <v>17</v>
      </c>
      <c r="M451" s="7">
        <f t="shared" si="7"/>
        <v>0.33253414829138966</v>
      </c>
    </row>
    <row r="452" spans="1:13" x14ac:dyDescent="0.35">
      <c r="A452" t="s">
        <v>496</v>
      </c>
      <c r="B452" s="2">
        <v>45684</v>
      </c>
      <c r="C452" t="s">
        <v>19</v>
      </c>
      <c r="D452" t="s">
        <v>44</v>
      </c>
      <c r="E452" t="s">
        <v>26</v>
      </c>
      <c r="F452" t="s">
        <v>27</v>
      </c>
      <c r="G452">
        <v>12</v>
      </c>
      <c r="H452" s="3">
        <v>11954.29</v>
      </c>
      <c r="I452" s="3">
        <v>143451.48000000001</v>
      </c>
      <c r="J452" s="3">
        <v>96521.51</v>
      </c>
      <c r="K452" s="3">
        <v>46929.97</v>
      </c>
      <c r="L452" t="s">
        <v>17</v>
      </c>
      <c r="M452" s="7">
        <f t="shared" si="7"/>
        <v>0.32714873349511625</v>
      </c>
    </row>
    <row r="453" spans="1:13" x14ac:dyDescent="0.35">
      <c r="A453" t="s">
        <v>497</v>
      </c>
      <c r="B453" s="2">
        <v>45676</v>
      </c>
      <c r="C453" t="s">
        <v>13</v>
      </c>
      <c r="D453" t="s">
        <v>54</v>
      </c>
      <c r="E453" t="s">
        <v>21</v>
      </c>
      <c r="F453" t="s">
        <v>63</v>
      </c>
      <c r="G453">
        <v>17</v>
      </c>
      <c r="H453" s="3">
        <v>6354.84</v>
      </c>
      <c r="I453" s="3">
        <v>108032.28</v>
      </c>
      <c r="J453" s="3">
        <v>92819.64</v>
      </c>
      <c r="K453" s="3">
        <v>15212.64</v>
      </c>
      <c r="L453" t="s">
        <v>17</v>
      </c>
      <c r="M453" s="7">
        <f t="shared" si="7"/>
        <v>0.14081568953279519</v>
      </c>
    </row>
    <row r="454" spans="1:13" x14ac:dyDescent="0.35">
      <c r="A454" t="s">
        <v>498</v>
      </c>
      <c r="B454" s="2">
        <v>45958</v>
      </c>
      <c r="C454" t="s">
        <v>42</v>
      </c>
      <c r="D454" t="s">
        <v>25</v>
      </c>
      <c r="E454" t="s">
        <v>46</v>
      </c>
      <c r="F454" t="s">
        <v>51</v>
      </c>
      <c r="G454">
        <v>18</v>
      </c>
      <c r="H454" s="3">
        <v>3410.31</v>
      </c>
      <c r="I454" s="3">
        <v>61385.58</v>
      </c>
      <c r="J454" s="3">
        <v>45024.49</v>
      </c>
      <c r="K454" s="3">
        <v>16361.09</v>
      </c>
      <c r="L454" t="s">
        <v>17</v>
      </c>
      <c r="M454" s="7">
        <f t="shared" si="7"/>
        <v>0.2665298592926873</v>
      </c>
    </row>
    <row r="455" spans="1:13" x14ac:dyDescent="0.35">
      <c r="A455" t="s">
        <v>499</v>
      </c>
      <c r="B455" s="2">
        <v>45748</v>
      </c>
      <c r="C455" t="s">
        <v>42</v>
      </c>
      <c r="D455" t="s">
        <v>20</v>
      </c>
      <c r="E455" t="s">
        <v>46</v>
      </c>
      <c r="F455" t="s">
        <v>47</v>
      </c>
      <c r="G455">
        <v>3</v>
      </c>
      <c r="H455" s="3">
        <v>642.9</v>
      </c>
      <c r="I455" s="3">
        <v>1928.7</v>
      </c>
      <c r="J455" s="3">
        <v>1517.77</v>
      </c>
      <c r="K455" s="3">
        <v>410.93</v>
      </c>
      <c r="L455" t="s">
        <v>52</v>
      </c>
      <c r="M455" s="7">
        <f t="shared" si="7"/>
        <v>0.21306061077409655</v>
      </c>
    </row>
    <row r="456" spans="1:13" x14ac:dyDescent="0.35">
      <c r="A456" t="s">
        <v>500</v>
      </c>
      <c r="B456" s="2">
        <v>45803</v>
      </c>
      <c r="C456" t="s">
        <v>13</v>
      </c>
      <c r="D456" t="s">
        <v>36</v>
      </c>
      <c r="E456" t="s">
        <v>21</v>
      </c>
      <c r="F456" t="s">
        <v>22</v>
      </c>
      <c r="G456">
        <v>5</v>
      </c>
      <c r="H456" s="3">
        <v>10008.77</v>
      </c>
      <c r="I456" s="3">
        <v>50043.85</v>
      </c>
      <c r="J456" s="3">
        <v>35263.17</v>
      </c>
      <c r="K456" s="3">
        <v>14780.68</v>
      </c>
      <c r="L456" t="s">
        <v>17</v>
      </c>
      <c r="M456" s="7">
        <f t="shared" si="7"/>
        <v>0.29535457403856819</v>
      </c>
    </row>
    <row r="457" spans="1:13" x14ac:dyDescent="0.35">
      <c r="A457" t="s">
        <v>501</v>
      </c>
      <c r="B457" s="2">
        <v>45943</v>
      </c>
      <c r="C457" t="s">
        <v>13</v>
      </c>
      <c r="D457" t="s">
        <v>33</v>
      </c>
      <c r="E457" t="s">
        <v>46</v>
      </c>
      <c r="F457" t="s">
        <v>47</v>
      </c>
      <c r="G457">
        <v>7</v>
      </c>
      <c r="H457" s="3">
        <v>632.46</v>
      </c>
      <c r="I457" s="3">
        <v>4427.22</v>
      </c>
      <c r="J457" s="3">
        <v>3468.51</v>
      </c>
      <c r="K457" s="3">
        <v>958.71</v>
      </c>
      <c r="L457" t="s">
        <v>23</v>
      </c>
      <c r="M457" s="7">
        <f t="shared" si="7"/>
        <v>0.21654898559366825</v>
      </c>
    </row>
    <row r="458" spans="1:13" x14ac:dyDescent="0.35">
      <c r="A458" t="s">
        <v>502</v>
      </c>
      <c r="B458" s="2">
        <v>45768</v>
      </c>
      <c r="C458" t="s">
        <v>42</v>
      </c>
      <c r="D458" t="s">
        <v>39</v>
      </c>
      <c r="E458" t="s">
        <v>46</v>
      </c>
      <c r="F458" t="s">
        <v>51</v>
      </c>
      <c r="G458">
        <v>1</v>
      </c>
      <c r="H458" s="3">
        <v>3549.62</v>
      </c>
      <c r="I458" s="3">
        <v>3549.62</v>
      </c>
      <c r="J458" s="3">
        <v>2905.75</v>
      </c>
      <c r="K458" s="3">
        <v>643.87</v>
      </c>
      <c r="L458" t="s">
        <v>17</v>
      </c>
      <c r="M458" s="7">
        <f t="shared" si="7"/>
        <v>0.18139124751381838</v>
      </c>
    </row>
    <row r="459" spans="1:13" x14ac:dyDescent="0.35">
      <c r="A459" t="s">
        <v>503</v>
      </c>
      <c r="B459" s="2">
        <v>45814</v>
      </c>
      <c r="C459" t="s">
        <v>42</v>
      </c>
      <c r="D459" t="s">
        <v>68</v>
      </c>
      <c r="E459" t="s">
        <v>15</v>
      </c>
      <c r="F459" t="s">
        <v>34</v>
      </c>
      <c r="G459">
        <v>16</v>
      </c>
      <c r="H459" s="3">
        <v>131.65</v>
      </c>
      <c r="I459" s="3">
        <v>2106.4</v>
      </c>
      <c r="J459" s="3">
        <v>1700.64</v>
      </c>
      <c r="K459" s="3">
        <v>405.76</v>
      </c>
      <c r="L459" t="s">
        <v>52</v>
      </c>
      <c r="M459" s="7">
        <f t="shared" si="7"/>
        <v>0.19263197873148499</v>
      </c>
    </row>
    <row r="460" spans="1:13" x14ac:dyDescent="0.35">
      <c r="A460" t="s">
        <v>504</v>
      </c>
      <c r="B460" s="2">
        <v>45969</v>
      </c>
      <c r="C460" t="s">
        <v>42</v>
      </c>
      <c r="D460" t="s">
        <v>39</v>
      </c>
      <c r="E460" t="s">
        <v>15</v>
      </c>
      <c r="F460" t="s">
        <v>16</v>
      </c>
      <c r="G460">
        <v>6</v>
      </c>
      <c r="H460" s="3">
        <v>259.23</v>
      </c>
      <c r="I460" s="3">
        <v>1555.38</v>
      </c>
      <c r="J460" s="3">
        <v>1180.1600000000001</v>
      </c>
      <c r="K460" s="3">
        <v>375.22</v>
      </c>
      <c r="L460" t="s">
        <v>52</v>
      </c>
      <c r="M460" s="7">
        <f t="shared" si="7"/>
        <v>0.24124008280934561</v>
      </c>
    </row>
    <row r="461" spans="1:13" x14ac:dyDescent="0.35">
      <c r="A461" t="s">
        <v>505</v>
      </c>
      <c r="B461" s="2">
        <v>45782</v>
      </c>
      <c r="C461" t="s">
        <v>13</v>
      </c>
      <c r="D461" t="s">
        <v>44</v>
      </c>
      <c r="E461" t="s">
        <v>26</v>
      </c>
      <c r="F461" t="s">
        <v>49</v>
      </c>
      <c r="G461">
        <v>12</v>
      </c>
      <c r="H461" s="3">
        <v>1380.01</v>
      </c>
      <c r="I461" s="3">
        <v>16560.12</v>
      </c>
      <c r="J461" s="3">
        <v>11249.35</v>
      </c>
      <c r="K461" s="3">
        <v>5310.77</v>
      </c>
      <c r="L461" t="s">
        <v>23</v>
      </c>
      <c r="M461" s="7">
        <f t="shared" si="7"/>
        <v>0.32069634761100768</v>
      </c>
    </row>
    <row r="462" spans="1:13" x14ac:dyDescent="0.35">
      <c r="A462" t="s">
        <v>506</v>
      </c>
      <c r="B462" s="2">
        <v>45688</v>
      </c>
      <c r="C462" t="s">
        <v>29</v>
      </c>
      <c r="D462" t="s">
        <v>44</v>
      </c>
      <c r="E462" t="s">
        <v>46</v>
      </c>
      <c r="F462" t="s">
        <v>70</v>
      </c>
      <c r="G462">
        <v>18</v>
      </c>
      <c r="H462" s="3">
        <v>2276.9499999999998</v>
      </c>
      <c r="I462" s="3">
        <v>40985.1</v>
      </c>
      <c r="J462" s="3">
        <v>25428.78</v>
      </c>
      <c r="K462" s="3">
        <v>15556.32</v>
      </c>
      <c r="L462" t="s">
        <v>52</v>
      </c>
      <c r="M462" s="7">
        <f t="shared" si="7"/>
        <v>0.37956037681986871</v>
      </c>
    </row>
    <row r="463" spans="1:13" x14ac:dyDescent="0.35">
      <c r="A463" t="s">
        <v>507</v>
      </c>
      <c r="B463" s="2">
        <v>45965</v>
      </c>
      <c r="C463" t="s">
        <v>19</v>
      </c>
      <c r="D463" t="s">
        <v>36</v>
      </c>
      <c r="E463" t="s">
        <v>46</v>
      </c>
      <c r="F463" t="s">
        <v>51</v>
      </c>
      <c r="G463">
        <v>11</v>
      </c>
      <c r="H463" s="3">
        <v>3426.82</v>
      </c>
      <c r="I463" s="3">
        <v>37695.019999999997</v>
      </c>
      <c r="J463" s="3">
        <v>25540.799999999999</v>
      </c>
      <c r="K463" s="3">
        <v>12154.22</v>
      </c>
      <c r="L463" t="s">
        <v>52</v>
      </c>
      <c r="M463" s="7">
        <f t="shared" si="7"/>
        <v>0.32243569574973036</v>
      </c>
    </row>
    <row r="464" spans="1:13" x14ac:dyDescent="0.35">
      <c r="A464" t="s">
        <v>508</v>
      </c>
      <c r="B464" s="2">
        <v>46016</v>
      </c>
      <c r="C464" t="s">
        <v>19</v>
      </c>
      <c r="D464" t="s">
        <v>44</v>
      </c>
      <c r="E464" t="s">
        <v>21</v>
      </c>
      <c r="F464" t="s">
        <v>22</v>
      </c>
      <c r="G464">
        <v>20</v>
      </c>
      <c r="H464" s="3">
        <v>9952.84</v>
      </c>
      <c r="I464" s="3">
        <v>199056.8</v>
      </c>
      <c r="J464" s="3">
        <v>141298.07999999999</v>
      </c>
      <c r="K464" s="3">
        <v>57758.720000000001</v>
      </c>
      <c r="L464" t="s">
        <v>52</v>
      </c>
      <c r="M464" s="7">
        <f t="shared" si="7"/>
        <v>0.29016200401091552</v>
      </c>
    </row>
    <row r="465" spans="1:13" x14ac:dyDescent="0.35">
      <c r="A465" t="s">
        <v>509</v>
      </c>
      <c r="B465" s="2">
        <v>45939</v>
      </c>
      <c r="C465" t="s">
        <v>13</v>
      </c>
      <c r="D465" t="s">
        <v>54</v>
      </c>
      <c r="E465" t="s">
        <v>46</v>
      </c>
      <c r="F465" t="s">
        <v>47</v>
      </c>
      <c r="G465">
        <v>10</v>
      </c>
      <c r="H465" s="3">
        <v>588.14</v>
      </c>
      <c r="I465" s="3">
        <v>5881.4</v>
      </c>
      <c r="J465" s="3">
        <v>4630.53</v>
      </c>
      <c r="K465" s="3">
        <v>1250.8699999999999</v>
      </c>
      <c r="L465" t="s">
        <v>52</v>
      </c>
      <c r="M465" s="7">
        <f t="shared" si="7"/>
        <v>0.21268235454143572</v>
      </c>
    </row>
    <row r="466" spans="1:13" x14ac:dyDescent="0.35">
      <c r="A466" t="s">
        <v>510</v>
      </c>
      <c r="B466" s="2">
        <v>45725</v>
      </c>
      <c r="C466" t="s">
        <v>29</v>
      </c>
      <c r="D466" t="s">
        <v>44</v>
      </c>
      <c r="E466" t="s">
        <v>26</v>
      </c>
      <c r="F466" t="s">
        <v>49</v>
      </c>
      <c r="G466">
        <v>7</v>
      </c>
      <c r="H466" s="3">
        <v>1404.53</v>
      </c>
      <c r="I466" s="3">
        <v>9831.7099999999991</v>
      </c>
      <c r="J466" s="3">
        <v>7809.99</v>
      </c>
      <c r="K466" s="3">
        <v>2021.72</v>
      </c>
      <c r="L466" t="s">
        <v>52</v>
      </c>
      <c r="M466" s="7">
        <f t="shared" si="7"/>
        <v>0.20563259087178123</v>
      </c>
    </row>
    <row r="467" spans="1:13" x14ac:dyDescent="0.35">
      <c r="A467" t="s">
        <v>511</v>
      </c>
      <c r="B467" s="2">
        <v>45814</v>
      </c>
      <c r="C467" t="s">
        <v>19</v>
      </c>
      <c r="D467" t="s">
        <v>25</v>
      </c>
      <c r="E467" t="s">
        <v>26</v>
      </c>
      <c r="F467" t="s">
        <v>31</v>
      </c>
      <c r="G467">
        <v>3</v>
      </c>
      <c r="H467" s="3">
        <v>48396.44</v>
      </c>
      <c r="I467" s="3">
        <v>145189.32</v>
      </c>
      <c r="J467" s="3">
        <v>98583.38</v>
      </c>
      <c r="K467" s="3">
        <v>46605.94</v>
      </c>
      <c r="L467" t="s">
        <v>17</v>
      </c>
      <c r="M467" s="7">
        <f t="shared" si="7"/>
        <v>0.32100115903841964</v>
      </c>
    </row>
    <row r="468" spans="1:13" x14ac:dyDescent="0.35">
      <c r="A468" t="s">
        <v>512</v>
      </c>
      <c r="B468" s="2">
        <v>45887</v>
      </c>
      <c r="C468" t="s">
        <v>29</v>
      </c>
      <c r="D468" t="s">
        <v>68</v>
      </c>
      <c r="E468" t="s">
        <v>21</v>
      </c>
      <c r="F468" t="s">
        <v>63</v>
      </c>
      <c r="G468">
        <v>18</v>
      </c>
      <c r="H468" s="3">
        <v>6881.28</v>
      </c>
      <c r="I468" s="3">
        <v>123863.03999999999</v>
      </c>
      <c r="J468" s="3">
        <v>96784.7</v>
      </c>
      <c r="K468" s="3">
        <v>27078.34</v>
      </c>
      <c r="L468" t="s">
        <v>17</v>
      </c>
      <c r="M468" s="7">
        <f t="shared" si="7"/>
        <v>0.2186151736627811</v>
      </c>
    </row>
    <row r="469" spans="1:13" x14ac:dyDescent="0.35">
      <c r="A469" t="s">
        <v>513</v>
      </c>
      <c r="B469" s="2">
        <v>45727</v>
      </c>
      <c r="C469" t="s">
        <v>13</v>
      </c>
      <c r="D469" t="s">
        <v>33</v>
      </c>
      <c r="E469" t="s">
        <v>21</v>
      </c>
      <c r="F469" t="s">
        <v>63</v>
      </c>
      <c r="G469">
        <v>12</v>
      </c>
      <c r="H469" s="3">
        <v>6668.26</v>
      </c>
      <c r="I469" s="3">
        <v>80019.12</v>
      </c>
      <c r="J469" s="3">
        <v>65989.850000000006</v>
      </c>
      <c r="K469" s="3">
        <v>14029.27</v>
      </c>
      <c r="L469" t="s">
        <v>52</v>
      </c>
      <c r="M469" s="7">
        <f t="shared" si="7"/>
        <v>0.17532397257055565</v>
      </c>
    </row>
    <row r="470" spans="1:13" x14ac:dyDescent="0.35">
      <c r="A470" t="s">
        <v>514</v>
      </c>
      <c r="B470" s="2">
        <v>45661</v>
      </c>
      <c r="C470" t="s">
        <v>29</v>
      </c>
      <c r="D470" t="s">
        <v>20</v>
      </c>
      <c r="E470" t="s">
        <v>15</v>
      </c>
      <c r="F470" t="s">
        <v>16</v>
      </c>
      <c r="G470">
        <v>9</v>
      </c>
      <c r="H470" s="3">
        <v>274.58</v>
      </c>
      <c r="I470" s="3">
        <v>2471.2199999999998</v>
      </c>
      <c r="J470" s="3">
        <v>1622.67</v>
      </c>
      <c r="K470" s="3">
        <v>848.55</v>
      </c>
      <c r="L470" t="s">
        <v>23</v>
      </c>
      <c r="M470" s="7">
        <f t="shared" si="7"/>
        <v>0.34337290892757422</v>
      </c>
    </row>
    <row r="471" spans="1:13" x14ac:dyDescent="0.35">
      <c r="A471" t="s">
        <v>515</v>
      </c>
      <c r="B471" s="2">
        <v>45678</v>
      </c>
      <c r="C471" t="s">
        <v>13</v>
      </c>
      <c r="D471" t="s">
        <v>54</v>
      </c>
      <c r="E471" t="s">
        <v>26</v>
      </c>
      <c r="F471" t="s">
        <v>27</v>
      </c>
      <c r="G471">
        <v>2</v>
      </c>
      <c r="H471" s="3">
        <v>13416.89</v>
      </c>
      <c r="I471" s="3">
        <v>26833.78</v>
      </c>
      <c r="J471" s="3">
        <v>18564.3</v>
      </c>
      <c r="K471" s="3">
        <v>8269.48</v>
      </c>
      <c r="L471" t="s">
        <v>23</v>
      </c>
      <c r="M471" s="7">
        <f t="shared" si="7"/>
        <v>0.30817424902492307</v>
      </c>
    </row>
    <row r="472" spans="1:13" x14ac:dyDescent="0.35">
      <c r="A472" t="s">
        <v>516</v>
      </c>
      <c r="B472" s="2">
        <v>45694</v>
      </c>
      <c r="C472" t="s">
        <v>13</v>
      </c>
      <c r="D472" t="s">
        <v>30</v>
      </c>
      <c r="E472" t="s">
        <v>15</v>
      </c>
      <c r="F472" t="s">
        <v>37</v>
      </c>
      <c r="G472">
        <v>18</v>
      </c>
      <c r="H472" s="3">
        <v>344.15</v>
      </c>
      <c r="I472" s="3">
        <v>6194.7</v>
      </c>
      <c r="J472" s="3">
        <v>5187.0600000000004</v>
      </c>
      <c r="K472" s="3">
        <v>1007.64</v>
      </c>
      <c r="L472" t="s">
        <v>17</v>
      </c>
      <c r="M472" s="7">
        <f t="shared" si="7"/>
        <v>0.16266163010315271</v>
      </c>
    </row>
    <row r="473" spans="1:13" x14ac:dyDescent="0.35">
      <c r="A473" t="s">
        <v>517</v>
      </c>
      <c r="B473" s="2">
        <v>45702</v>
      </c>
      <c r="C473" t="s">
        <v>19</v>
      </c>
      <c r="D473" t="s">
        <v>25</v>
      </c>
      <c r="E473" t="s">
        <v>46</v>
      </c>
      <c r="F473" t="s">
        <v>70</v>
      </c>
      <c r="G473">
        <v>14</v>
      </c>
      <c r="H473" s="3">
        <v>2309.4499999999998</v>
      </c>
      <c r="I473" s="3">
        <v>32332.3</v>
      </c>
      <c r="J473" s="3">
        <v>26447.27</v>
      </c>
      <c r="K473" s="3">
        <v>5885.03</v>
      </c>
      <c r="L473" t="s">
        <v>23</v>
      </c>
      <c r="M473" s="7">
        <f t="shared" si="7"/>
        <v>0.18201705415327707</v>
      </c>
    </row>
    <row r="474" spans="1:13" x14ac:dyDescent="0.35">
      <c r="A474" t="s">
        <v>518</v>
      </c>
      <c r="B474" s="2">
        <v>45950</v>
      </c>
      <c r="C474" t="s">
        <v>42</v>
      </c>
      <c r="D474" t="s">
        <v>30</v>
      </c>
      <c r="E474" t="s">
        <v>46</v>
      </c>
      <c r="F474" t="s">
        <v>51</v>
      </c>
      <c r="G474">
        <v>16</v>
      </c>
      <c r="H474" s="3">
        <v>3312.88</v>
      </c>
      <c r="I474" s="3">
        <v>53006.080000000002</v>
      </c>
      <c r="J474" s="3">
        <v>40196.660000000003</v>
      </c>
      <c r="K474" s="3">
        <v>12809.42</v>
      </c>
      <c r="L474" t="s">
        <v>52</v>
      </c>
      <c r="M474" s="7">
        <f t="shared" si="7"/>
        <v>0.24165944736905653</v>
      </c>
    </row>
    <row r="475" spans="1:13" x14ac:dyDescent="0.35">
      <c r="A475" t="s">
        <v>519</v>
      </c>
      <c r="B475" s="2">
        <v>45797</v>
      </c>
      <c r="C475" t="s">
        <v>42</v>
      </c>
      <c r="D475" t="s">
        <v>44</v>
      </c>
      <c r="E475" t="s">
        <v>21</v>
      </c>
      <c r="F475" t="s">
        <v>22</v>
      </c>
      <c r="G475">
        <v>1</v>
      </c>
      <c r="H475" s="3">
        <v>12039.42</v>
      </c>
      <c r="I475" s="3">
        <v>12039.42</v>
      </c>
      <c r="J475" s="3">
        <v>8896.2000000000007</v>
      </c>
      <c r="K475" s="3">
        <v>3143.22</v>
      </c>
      <c r="L475" t="s">
        <v>23</v>
      </c>
      <c r="M475" s="7">
        <f t="shared" si="7"/>
        <v>0.26107736086954353</v>
      </c>
    </row>
    <row r="476" spans="1:13" x14ac:dyDescent="0.35">
      <c r="A476" t="s">
        <v>520</v>
      </c>
      <c r="B476" s="2">
        <v>45811</v>
      </c>
      <c r="C476" t="s">
        <v>19</v>
      </c>
      <c r="D476" t="s">
        <v>30</v>
      </c>
      <c r="E476" t="s">
        <v>21</v>
      </c>
      <c r="F476" t="s">
        <v>22</v>
      </c>
      <c r="G476">
        <v>16</v>
      </c>
      <c r="H476" s="3">
        <v>11669.13</v>
      </c>
      <c r="I476" s="3">
        <v>186706.08</v>
      </c>
      <c r="J476" s="3">
        <v>119650.41</v>
      </c>
      <c r="K476" s="3">
        <v>67055.67</v>
      </c>
      <c r="L476" t="s">
        <v>23</v>
      </c>
      <c r="M476" s="7">
        <f t="shared" si="7"/>
        <v>0.35915097140917962</v>
      </c>
    </row>
    <row r="477" spans="1:13" x14ac:dyDescent="0.35">
      <c r="A477" t="s">
        <v>521</v>
      </c>
      <c r="B477" s="2">
        <v>45952</v>
      </c>
      <c r="C477" t="s">
        <v>29</v>
      </c>
      <c r="D477" t="s">
        <v>44</v>
      </c>
      <c r="E477" t="s">
        <v>46</v>
      </c>
      <c r="F477" t="s">
        <v>70</v>
      </c>
      <c r="G477">
        <v>15</v>
      </c>
      <c r="H477" s="3">
        <v>2137.65</v>
      </c>
      <c r="I477" s="3">
        <v>32064.75</v>
      </c>
      <c r="J477" s="3">
        <v>25930.400000000001</v>
      </c>
      <c r="K477" s="3">
        <v>6134.35</v>
      </c>
      <c r="L477" t="s">
        <v>52</v>
      </c>
      <c r="M477" s="7">
        <f t="shared" si="7"/>
        <v>0.19131133097872274</v>
      </c>
    </row>
    <row r="478" spans="1:13" x14ac:dyDescent="0.35">
      <c r="A478" t="s">
        <v>522</v>
      </c>
      <c r="B478" s="2">
        <v>45875</v>
      </c>
      <c r="C478" t="s">
        <v>19</v>
      </c>
      <c r="D478" t="s">
        <v>39</v>
      </c>
      <c r="E478" t="s">
        <v>26</v>
      </c>
      <c r="F478" t="s">
        <v>65</v>
      </c>
      <c r="G478">
        <v>2</v>
      </c>
      <c r="H478" s="3">
        <v>641.16</v>
      </c>
      <c r="I478" s="3">
        <v>1282.32</v>
      </c>
      <c r="J478" s="3">
        <v>848.34</v>
      </c>
      <c r="K478" s="3">
        <v>433.98</v>
      </c>
      <c r="L478" t="s">
        <v>52</v>
      </c>
      <c r="M478" s="7">
        <f t="shared" si="7"/>
        <v>0.33843346434587313</v>
      </c>
    </row>
    <row r="479" spans="1:13" x14ac:dyDescent="0.35">
      <c r="A479" t="s">
        <v>523</v>
      </c>
      <c r="B479" s="2">
        <v>45838</v>
      </c>
      <c r="C479" t="s">
        <v>29</v>
      </c>
      <c r="D479" t="s">
        <v>14</v>
      </c>
      <c r="E479" t="s">
        <v>26</v>
      </c>
      <c r="F479" t="s">
        <v>65</v>
      </c>
      <c r="G479">
        <v>4</v>
      </c>
      <c r="H479" s="3">
        <v>766.21</v>
      </c>
      <c r="I479" s="3">
        <v>3064.84</v>
      </c>
      <c r="J479" s="3">
        <v>2392.38</v>
      </c>
      <c r="K479" s="3">
        <v>672.46</v>
      </c>
      <c r="L479" t="s">
        <v>52</v>
      </c>
      <c r="M479" s="7">
        <f t="shared" si="7"/>
        <v>0.21941112749768341</v>
      </c>
    </row>
    <row r="480" spans="1:13" x14ac:dyDescent="0.35">
      <c r="A480" t="s">
        <v>524</v>
      </c>
      <c r="B480" s="2">
        <v>45907</v>
      </c>
      <c r="C480" t="s">
        <v>42</v>
      </c>
      <c r="D480" t="s">
        <v>44</v>
      </c>
      <c r="E480" t="s">
        <v>15</v>
      </c>
      <c r="F480" t="s">
        <v>37</v>
      </c>
      <c r="G480">
        <v>2</v>
      </c>
      <c r="H480" s="3">
        <v>345.04</v>
      </c>
      <c r="I480" s="3">
        <v>690.08</v>
      </c>
      <c r="J480" s="3">
        <v>509.36</v>
      </c>
      <c r="K480" s="3">
        <v>180.72</v>
      </c>
      <c r="L480" t="s">
        <v>17</v>
      </c>
      <c r="M480" s="7">
        <f t="shared" si="7"/>
        <v>0.26188268026895428</v>
      </c>
    </row>
    <row r="481" spans="1:13" x14ac:dyDescent="0.35">
      <c r="A481" t="s">
        <v>525</v>
      </c>
      <c r="B481" s="2">
        <v>45822</v>
      </c>
      <c r="C481" t="s">
        <v>19</v>
      </c>
      <c r="D481" t="s">
        <v>14</v>
      </c>
      <c r="E481" t="s">
        <v>26</v>
      </c>
      <c r="F481" t="s">
        <v>49</v>
      </c>
      <c r="G481">
        <v>7</v>
      </c>
      <c r="H481" s="3">
        <v>1361.26</v>
      </c>
      <c r="I481" s="3">
        <v>9528.82</v>
      </c>
      <c r="J481" s="3">
        <v>6672.66</v>
      </c>
      <c r="K481" s="3">
        <v>2856.16</v>
      </c>
      <c r="L481" t="s">
        <v>23</v>
      </c>
      <c r="M481" s="7">
        <f t="shared" si="7"/>
        <v>0.29973910725567277</v>
      </c>
    </row>
    <row r="482" spans="1:13" x14ac:dyDescent="0.35">
      <c r="A482" t="s">
        <v>526</v>
      </c>
      <c r="B482" s="2">
        <v>45967</v>
      </c>
      <c r="C482" t="s">
        <v>19</v>
      </c>
      <c r="D482" t="s">
        <v>54</v>
      </c>
      <c r="E482" t="s">
        <v>46</v>
      </c>
      <c r="F482" t="s">
        <v>70</v>
      </c>
      <c r="G482">
        <v>13</v>
      </c>
      <c r="H482" s="3">
        <v>2260.23</v>
      </c>
      <c r="I482" s="3">
        <v>29382.99</v>
      </c>
      <c r="J482" s="3">
        <v>18387.75</v>
      </c>
      <c r="K482" s="3">
        <v>10995.24</v>
      </c>
      <c r="L482" t="s">
        <v>52</v>
      </c>
      <c r="M482" s="7">
        <f t="shared" si="7"/>
        <v>0.37420425899474491</v>
      </c>
    </row>
    <row r="483" spans="1:13" x14ac:dyDescent="0.35">
      <c r="A483" t="s">
        <v>527</v>
      </c>
      <c r="B483" s="2">
        <v>45766</v>
      </c>
      <c r="C483" t="s">
        <v>19</v>
      </c>
      <c r="D483" t="s">
        <v>33</v>
      </c>
      <c r="E483" t="s">
        <v>15</v>
      </c>
      <c r="F483" t="s">
        <v>37</v>
      </c>
      <c r="G483">
        <v>2</v>
      </c>
      <c r="H483" s="3">
        <v>323.36</v>
      </c>
      <c r="I483" s="3">
        <v>646.72</v>
      </c>
      <c r="J483" s="3">
        <v>424.79</v>
      </c>
      <c r="K483" s="3">
        <v>221.93</v>
      </c>
      <c r="L483" t="s">
        <v>52</v>
      </c>
      <c r="M483" s="7">
        <f t="shared" si="7"/>
        <v>0.34316241959426025</v>
      </c>
    </row>
    <row r="484" spans="1:13" x14ac:dyDescent="0.35">
      <c r="A484" t="s">
        <v>528</v>
      </c>
      <c r="B484" s="2">
        <v>45966</v>
      </c>
      <c r="C484" t="s">
        <v>42</v>
      </c>
      <c r="D484" t="s">
        <v>54</v>
      </c>
      <c r="E484" t="s">
        <v>46</v>
      </c>
      <c r="F484" t="s">
        <v>70</v>
      </c>
      <c r="G484">
        <v>14</v>
      </c>
      <c r="H484" s="3">
        <v>2109.9899999999998</v>
      </c>
      <c r="I484" s="3">
        <v>29539.86</v>
      </c>
      <c r="J484" s="3">
        <v>22659.77</v>
      </c>
      <c r="K484" s="3">
        <v>6880.09</v>
      </c>
      <c r="L484" t="s">
        <v>17</v>
      </c>
      <c r="M484" s="7">
        <f t="shared" si="7"/>
        <v>0.23290868677102736</v>
      </c>
    </row>
    <row r="485" spans="1:13" x14ac:dyDescent="0.35">
      <c r="A485" t="s">
        <v>529</v>
      </c>
      <c r="B485" s="2">
        <v>45835</v>
      </c>
      <c r="C485" t="s">
        <v>29</v>
      </c>
      <c r="D485" t="s">
        <v>14</v>
      </c>
      <c r="E485" t="s">
        <v>15</v>
      </c>
      <c r="F485" t="s">
        <v>16</v>
      </c>
      <c r="G485">
        <v>7</v>
      </c>
      <c r="H485" s="3">
        <v>229.04</v>
      </c>
      <c r="I485" s="3">
        <v>1603.28</v>
      </c>
      <c r="J485" s="3">
        <v>1318.84</v>
      </c>
      <c r="K485" s="3">
        <v>284.44</v>
      </c>
      <c r="L485" t="s">
        <v>17</v>
      </c>
      <c r="M485" s="7">
        <f t="shared" si="7"/>
        <v>0.17741130682101691</v>
      </c>
    </row>
    <row r="486" spans="1:13" x14ac:dyDescent="0.35">
      <c r="A486" t="s">
        <v>530</v>
      </c>
      <c r="B486" s="2">
        <v>45769</v>
      </c>
      <c r="C486" t="s">
        <v>19</v>
      </c>
      <c r="D486" t="s">
        <v>33</v>
      </c>
      <c r="E486" t="s">
        <v>21</v>
      </c>
      <c r="F486" t="s">
        <v>22</v>
      </c>
      <c r="G486">
        <v>13</v>
      </c>
      <c r="H486" s="3">
        <v>11165.34</v>
      </c>
      <c r="I486" s="3">
        <v>145149.42000000001</v>
      </c>
      <c r="J486" s="3">
        <v>95345.59</v>
      </c>
      <c r="K486" s="3">
        <v>49803.83</v>
      </c>
      <c r="L486" t="s">
        <v>23</v>
      </c>
      <c r="M486" s="7">
        <f t="shared" si="7"/>
        <v>0.34312110926795297</v>
      </c>
    </row>
    <row r="487" spans="1:13" x14ac:dyDescent="0.35">
      <c r="A487" t="s">
        <v>531</v>
      </c>
      <c r="B487" s="2">
        <v>45903</v>
      </c>
      <c r="C487" t="s">
        <v>13</v>
      </c>
      <c r="D487" t="s">
        <v>36</v>
      </c>
      <c r="E487" t="s">
        <v>21</v>
      </c>
      <c r="F487" t="s">
        <v>22</v>
      </c>
      <c r="G487">
        <v>18</v>
      </c>
      <c r="H487" s="3">
        <v>11928.15</v>
      </c>
      <c r="I487" s="3">
        <v>214706.7</v>
      </c>
      <c r="J487" s="3">
        <v>140445.12</v>
      </c>
      <c r="K487" s="3">
        <v>74261.58</v>
      </c>
      <c r="L487" t="s">
        <v>23</v>
      </c>
      <c r="M487" s="7">
        <f t="shared" si="7"/>
        <v>0.34587453488875752</v>
      </c>
    </row>
    <row r="488" spans="1:13" x14ac:dyDescent="0.35">
      <c r="A488" t="s">
        <v>532</v>
      </c>
      <c r="B488" s="2">
        <v>45829</v>
      </c>
      <c r="C488" t="s">
        <v>42</v>
      </c>
      <c r="D488" t="s">
        <v>20</v>
      </c>
      <c r="E488" t="s">
        <v>21</v>
      </c>
      <c r="F488" t="s">
        <v>101</v>
      </c>
      <c r="G488">
        <v>5</v>
      </c>
      <c r="H488" s="3">
        <v>7869.94</v>
      </c>
      <c r="I488" s="3">
        <v>39349.699999999997</v>
      </c>
      <c r="J488" s="3">
        <v>27736.99</v>
      </c>
      <c r="K488" s="3">
        <v>11612.71</v>
      </c>
      <c r="L488" t="s">
        <v>52</v>
      </c>
      <c r="M488" s="7">
        <f t="shared" si="7"/>
        <v>0.29511559173259261</v>
      </c>
    </row>
    <row r="489" spans="1:13" x14ac:dyDescent="0.35">
      <c r="A489" t="s">
        <v>533</v>
      </c>
      <c r="B489" s="2">
        <v>45881</v>
      </c>
      <c r="C489" t="s">
        <v>29</v>
      </c>
      <c r="D489" t="s">
        <v>14</v>
      </c>
      <c r="E489" t="s">
        <v>21</v>
      </c>
      <c r="F489" t="s">
        <v>101</v>
      </c>
      <c r="G489">
        <v>7</v>
      </c>
      <c r="H489" s="3">
        <v>7337.03</v>
      </c>
      <c r="I489" s="3">
        <v>51359.21</v>
      </c>
      <c r="J489" s="3">
        <v>40614.65</v>
      </c>
      <c r="K489" s="3">
        <v>10744.56</v>
      </c>
      <c r="L489" t="s">
        <v>17</v>
      </c>
      <c r="M489" s="7">
        <f t="shared" si="7"/>
        <v>0.20920415247820207</v>
      </c>
    </row>
    <row r="490" spans="1:13" x14ac:dyDescent="0.35">
      <c r="A490" t="s">
        <v>534</v>
      </c>
      <c r="B490" s="2">
        <v>45831</v>
      </c>
      <c r="C490" t="s">
        <v>13</v>
      </c>
      <c r="D490" t="s">
        <v>33</v>
      </c>
      <c r="E490" t="s">
        <v>15</v>
      </c>
      <c r="F490" t="s">
        <v>34</v>
      </c>
      <c r="G490">
        <v>2</v>
      </c>
      <c r="H490" s="3">
        <v>123.99</v>
      </c>
      <c r="I490" s="3">
        <v>247.98</v>
      </c>
      <c r="J490" s="3">
        <v>156.76</v>
      </c>
      <c r="K490" s="3">
        <v>91.22</v>
      </c>
      <c r="L490" t="s">
        <v>52</v>
      </c>
      <c r="M490" s="7">
        <f t="shared" si="7"/>
        <v>0.36785224614888301</v>
      </c>
    </row>
    <row r="491" spans="1:13" x14ac:dyDescent="0.35">
      <c r="A491" t="s">
        <v>535</v>
      </c>
      <c r="B491" s="2">
        <v>45771</v>
      </c>
      <c r="C491" t="s">
        <v>42</v>
      </c>
      <c r="D491" t="s">
        <v>36</v>
      </c>
      <c r="E491" t="s">
        <v>21</v>
      </c>
      <c r="F491" t="s">
        <v>63</v>
      </c>
      <c r="G491">
        <v>17</v>
      </c>
      <c r="H491" s="3">
        <v>6136.18</v>
      </c>
      <c r="I491" s="3">
        <v>104315.06</v>
      </c>
      <c r="J491" s="3">
        <v>85704.78</v>
      </c>
      <c r="K491" s="3">
        <v>18610.28</v>
      </c>
      <c r="L491" t="s">
        <v>23</v>
      </c>
      <c r="M491" s="7">
        <f t="shared" si="7"/>
        <v>0.17840453717804505</v>
      </c>
    </row>
    <row r="492" spans="1:13" x14ac:dyDescent="0.35">
      <c r="A492" t="s">
        <v>536</v>
      </c>
      <c r="B492" s="2">
        <v>45948</v>
      </c>
      <c r="C492" t="s">
        <v>19</v>
      </c>
      <c r="D492" t="s">
        <v>54</v>
      </c>
      <c r="E492" t="s">
        <v>15</v>
      </c>
      <c r="F492" t="s">
        <v>37</v>
      </c>
      <c r="G492">
        <v>20</v>
      </c>
      <c r="H492" s="3">
        <v>379.03</v>
      </c>
      <c r="I492" s="3">
        <v>7580.6</v>
      </c>
      <c r="J492" s="3">
        <v>5413.04</v>
      </c>
      <c r="K492" s="3">
        <v>2167.56</v>
      </c>
      <c r="L492" t="s">
        <v>23</v>
      </c>
      <c r="M492" s="7">
        <f t="shared" si="7"/>
        <v>0.28593515025195892</v>
      </c>
    </row>
    <row r="493" spans="1:13" x14ac:dyDescent="0.35">
      <c r="A493" t="s">
        <v>537</v>
      </c>
      <c r="B493" s="2">
        <v>45844</v>
      </c>
      <c r="C493" t="s">
        <v>19</v>
      </c>
      <c r="D493" t="s">
        <v>54</v>
      </c>
      <c r="E493" t="s">
        <v>46</v>
      </c>
      <c r="F493" t="s">
        <v>47</v>
      </c>
      <c r="G493">
        <v>1</v>
      </c>
      <c r="H493" s="3">
        <v>554.58000000000004</v>
      </c>
      <c r="I493" s="3">
        <v>554.58000000000004</v>
      </c>
      <c r="J493" s="3">
        <v>402.41</v>
      </c>
      <c r="K493" s="3">
        <v>152.16999999999999</v>
      </c>
      <c r="L493" t="s">
        <v>23</v>
      </c>
      <c r="M493" s="7">
        <f t="shared" si="7"/>
        <v>0.27438782502073639</v>
      </c>
    </row>
    <row r="494" spans="1:13" x14ac:dyDescent="0.35">
      <c r="A494" t="s">
        <v>538</v>
      </c>
      <c r="B494" s="2">
        <v>45755</v>
      </c>
      <c r="C494" t="s">
        <v>13</v>
      </c>
      <c r="D494" t="s">
        <v>30</v>
      </c>
      <c r="E494" t="s">
        <v>21</v>
      </c>
      <c r="F494" t="s">
        <v>22</v>
      </c>
      <c r="G494">
        <v>9</v>
      </c>
      <c r="H494" s="3">
        <v>10258.85</v>
      </c>
      <c r="I494" s="3">
        <v>92329.65</v>
      </c>
      <c r="J494" s="3">
        <v>77585.350000000006</v>
      </c>
      <c r="K494" s="3">
        <v>14744.3</v>
      </c>
      <c r="L494" t="s">
        <v>23</v>
      </c>
      <c r="M494" s="7">
        <f t="shared" si="7"/>
        <v>0.15969192994883008</v>
      </c>
    </row>
    <row r="495" spans="1:13" x14ac:dyDescent="0.35">
      <c r="A495" t="s">
        <v>539</v>
      </c>
      <c r="B495" s="2">
        <v>45890</v>
      </c>
      <c r="C495" t="s">
        <v>29</v>
      </c>
      <c r="D495" t="s">
        <v>68</v>
      </c>
      <c r="E495" t="s">
        <v>26</v>
      </c>
      <c r="F495" t="s">
        <v>31</v>
      </c>
      <c r="G495">
        <v>2</v>
      </c>
      <c r="H495" s="3">
        <v>45629.56</v>
      </c>
      <c r="I495" s="3">
        <v>91259.12</v>
      </c>
      <c r="J495" s="3">
        <v>62030.35</v>
      </c>
      <c r="K495" s="3">
        <v>29228.77</v>
      </c>
      <c r="L495" t="s">
        <v>17</v>
      </c>
      <c r="M495" s="7">
        <f t="shared" si="7"/>
        <v>0.32028327689331215</v>
      </c>
    </row>
    <row r="496" spans="1:13" x14ac:dyDescent="0.35">
      <c r="A496" t="s">
        <v>540</v>
      </c>
      <c r="B496" s="2">
        <v>45797</v>
      </c>
      <c r="C496" t="s">
        <v>13</v>
      </c>
      <c r="D496" t="s">
        <v>44</v>
      </c>
      <c r="E496" t="s">
        <v>21</v>
      </c>
      <c r="F496" t="s">
        <v>63</v>
      </c>
      <c r="G496">
        <v>16</v>
      </c>
      <c r="H496" s="3">
        <v>6454.2</v>
      </c>
      <c r="I496" s="3">
        <v>103267.2</v>
      </c>
      <c r="J496" s="3">
        <v>80713.23</v>
      </c>
      <c r="K496" s="3">
        <v>22553.97</v>
      </c>
      <c r="L496" t="s">
        <v>52</v>
      </c>
      <c r="M496" s="7">
        <f t="shared" si="7"/>
        <v>0.21840400436924795</v>
      </c>
    </row>
    <row r="497" spans="1:13" x14ac:dyDescent="0.35">
      <c r="A497" t="s">
        <v>541</v>
      </c>
      <c r="B497" s="2">
        <v>45933</v>
      </c>
      <c r="C497" t="s">
        <v>42</v>
      </c>
      <c r="D497" t="s">
        <v>20</v>
      </c>
      <c r="E497" t="s">
        <v>21</v>
      </c>
      <c r="F497" t="s">
        <v>22</v>
      </c>
      <c r="G497">
        <v>3</v>
      </c>
      <c r="H497" s="3">
        <v>11468.57</v>
      </c>
      <c r="I497" s="3">
        <v>34405.71</v>
      </c>
      <c r="J497" s="3">
        <v>28455.54</v>
      </c>
      <c r="K497" s="3">
        <v>5950.17</v>
      </c>
      <c r="L497" t="s">
        <v>17</v>
      </c>
      <c r="M497" s="7">
        <f t="shared" si="7"/>
        <v>0.17294135188606777</v>
      </c>
    </row>
    <row r="498" spans="1:13" x14ac:dyDescent="0.35">
      <c r="A498" t="s">
        <v>542</v>
      </c>
      <c r="B498" s="2">
        <v>45728</v>
      </c>
      <c r="C498" t="s">
        <v>13</v>
      </c>
      <c r="D498" t="s">
        <v>14</v>
      </c>
      <c r="E498" t="s">
        <v>21</v>
      </c>
      <c r="F498" t="s">
        <v>63</v>
      </c>
      <c r="G498">
        <v>10</v>
      </c>
      <c r="H498" s="3">
        <v>7106.84</v>
      </c>
      <c r="I498" s="3">
        <v>71068.399999999994</v>
      </c>
      <c r="J498" s="3">
        <v>55618.5</v>
      </c>
      <c r="K498" s="3">
        <v>15449.9</v>
      </c>
      <c r="L498" t="s">
        <v>17</v>
      </c>
      <c r="M498" s="7">
        <f t="shared" si="7"/>
        <v>0.21739479149664268</v>
      </c>
    </row>
    <row r="499" spans="1:13" x14ac:dyDescent="0.35">
      <c r="A499" t="s">
        <v>543</v>
      </c>
      <c r="B499" s="2">
        <v>45912</v>
      </c>
      <c r="C499" t="s">
        <v>13</v>
      </c>
      <c r="D499" t="s">
        <v>44</v>
      </c>
      <c r="E499" t="s">
        <v>26</v>
      </c>
      <c r="F499" t="s">
        <v>27</v>
      </c>
      <c r="G499">
        <v>20</v>
      </c>
      <c r="H499" s="3">
        <v>11276.91</v>
      </c>
      <c r="I499" s="3">
        <v>225538.2</v>
      </c>
      <c r="J499" s="3">
        <v>189306.94</v>
      </c>
      <c r="K499" s="3">
        <v>36231.26</v>
      </c>
      <c r="L499" t="s">
        <v>17</v>
      </c>
      <c r="M499" s="7">
        <f t="shared" si="7"/>
        <v>0.1606435628199569</v>
      </c>
    </row>
    <row r="500" spans="1:13" x14ac:dyDescent="0.35">
      <c r="A500" t="s">
        <v>544</v>
      </c>
      <c r="B500" s="2">
        <v>45984</v>
      </c>
      <c r="C500" t="s">
        <v>13</v>
      </c>
      <c r="D500" t="s">
        <v>14</v>
      </c>
      <c r="E500" t="s">
        <v>21</v>
      </c>
      <c r="F500" t="s">
        <v>101</v>
      </c>
      <c r="G500">
        <v>20</v>
      </c>
      <c r="H500" s="3">
        <v>7427.64</v>
      </c>
      <c r="I500" s="3">
        <v>148552.79999999999</v>
      </c>
      <c r="J500" s="3">
        <v>122800.18</v>
      </c>
      <c r="K500" s="3">
        <v>25752.62</v>
      </c>
      <c r="L500" t="s">
        <v>17</v>
      </c>
      <c r="M500" s="7">
        <f t="shared" si="7"/>
        <v>0.17335667856815895</v>
      </c>
    </row>
    <row r="501" spans="1:13" x14ac:dyDescent="0.35">
      <c r="A501" t="s">
        <v>545</v>
      </c>
      <c r="B501" s="2">
        <v>45769</v>
      </c>
      <c r="C501" t="s">
        <v>13</v>
      </c>
      <c r="D501" t="s">
        <v>54</v>
      </c>
      <c r="E501" t="s">
        <v>46</v>
      </c>
      <c r="F501" t="s">
        <v>70</v>
      </c>
      <c r="G501">
        <v>5</v>
      </c>
      <c r="H501" s="3">
        <v>2429.77</v>
      </c>
      <c r="I501" s="3">
        <v>12148.85</v>
      </c>
      <c r="J501" s="3">
        <v>8664.49</v>
      </c>
      <c r="K501" s="3">
        <v>3484.36</v>
      </c>
      <c r="L501" t="s">
        <v>17</v>
      </c>
      <c r="M501" s="7">
        <f t="shared" si="7"/>
        <v>0.28680574704601669</v>
      </c>
    </row>
    <row r="502" spans="1:13" x14ac:dyDescent="0.35">
      <c r="A502" t="s">
        <v>546</v>
      </c>
      <c r="B502" s="2">
        <v>45729</v>
      </c>
      <c r="C502" t="s">
        <v>42</v>
      </c>
      <c r="D502" t="s">
        <v>36</v>
      </c>
      <c r="E502" t="s">
        <v>21</v>
      </c>
      <c r="F502" t="s">
        <v>101</v>
      </c>
      <c r="G502">
        <v>16</v>
      </c>
      <c r="H502" s="3">
        <v>7756.21</v>
      </c>
      <c r="I502" s="3">
        <v>124099.36</v>
      </c>
      <c r="J502" s="3">
        <v>82182.62</v>
      </c>
      <c r="K502" s="3">
        <v>41916.74</v>
      </c>
      <c r="L502" t="s">
        <v>23</v>
      </c>
      <c r="M502" s="7">
        <f t="shared" si="7"/>
        <v>0.33776757591658813</v>
      </c>
    </row>
    <row r="503" spans="1:13" x14ac:dyDescent="0.35">
      <c r="A503" t="s">
        <v>547</v>
      </c>
      <c r="B503" s="2">
        <v>45695</v>
      </c>
      <c r="C503" t="s">
        <v>42</v>
      </c>
      <c r="D503" t="s">
        <v>14</v>
      </c>
      <c r="E503" t="s">
        <v>46</v>
      </c>
      <c r="F503" t="s">
        <v>51</v>
      </c>
      <c r="G503">
        <v>1</v>
      </c>
      <c r="H503" s="3">
        <v>3178.76</v>
      </c>
      <c r="I503" s="3">
        <v>3178.76</v>
      </c>
      <c r="J503" s="3">
        <v>2469.79</v>
      </c>
      <c r="K503" s="3">
        <v>708.97</v>
      </c>
      <c r="L503" t="s">
        <v>52</v>
      </c>
      <c r="M503" s="7">
        <f t="shared" si="7"/>
        <v>0.22303350992210799</v>
      </c>
    </row>
    <row r="504" spans="1:13" x14ac:dyDescent="0.35">
      <c r="A504" t="s">
        <v>548</v>
      </c>
      <c r="B504" s="2">
        <v>45893</v>
      </c>
      <c r="C504" t="s">
        <v>13</v>
      </c>
      <c r="D504" t="s">
        <v>54</v>
      </c>
      <c r="E504" t="s">
        <v>26</v>
      </c>
      <c r="F504" t="s">
        <v>65</v>
      </c>
      <c r="G504">
        <v>10</v>
      </c>
      <c r="H504" s="3">
        <v>703.65</v>
      </c>
      <c r="I504" s="3">
        <v>7036.5</v>
      </c>
      <c r="J504" s="3">
        <v>5051.92</v>
      </c>
      <c r="K504" s="3">
        <v>1984.58</v>
      </c>
      <c r="L504" t="s">
        <v>52</v>
      </c>
      <c r="M504" s="7">
        <f t="shared" si="7"/>
        <v>0.28204078732324306</v>
      </c>
    </row>
    <row r="505" spans="1:13" x14ac:dyDescent="0.35">
      <c r="A505" t="s">
        <v>549</v>
      </c>
      <c r="B505" s="2">
        <v>45726</v>
      </c>
      <c r="C505" t="s">
        <v>19</v>
      </c>
      <c r="D505" t="s">
        <v>33</v>
      </c>
      <c r="E505" t="s">
        <v>21</v>
      </c>
      <c r="F505" t="s">
        <v>22</v>
      </c>
      <c r="G505">
        <v>19</v>
      </c>
      <c r="H505" s="3">
        <v>10607.41</v>
      </c>
      <c r="I505" s="3">
        <v>201540.79</v>
      </c>
      <c r="J505" s="3">
        <v>141077.79999999999</v>
      </c>
      <c r="K505" s="3">
        <v>60462.99</v>
      </c>
      <c r="L505" t="s">
        <v>17</v>
      </c>
      <c r="M505" s="7">
        <f t="shared" si="7"/>
        <v>0.30000373621637583</v>
      </c>
    </row>
    <row r="506" spans="1:13" x14ac:dyDescent="0.35">
      <c r="A506" t="s">
        <v>550</v>
      </c>
      <c r="B506" s="2">
        <v>45857</v>
      </c>
      <c r="C506" t="s">
        <v>13</v>
      </c>
      <c r="D506" t="s">
        <v>39</v>
      </c>
      <c r="E506" t="s">
        <v>15</v>
      </c>
      <c r="F506" t="s">
        <v>16</v>
      </c>
      <c r="G506">
        <v>7</v>
      </c>
      <c r="H506" s="3">
        <v>232.47</v>
      </c>
      <c r="I506" s="3">
        <v>1627.29</v>
      </c>
      <c r="J506" s="3">
        <v>1034.6600000000001</v>
      </c>
      <c r="K506" s="3">
        <v>592.63</v>
      </c>
      <c r="L506" t="s">
        <v>23</v>
      </c>
      <c r="M506" s="7">
        <f t="shared" si="7"/>
        <v>0.3641821678987765</v>
      </c>
    </row>
    <row r="507" spans="1:13" x14ac:dyDescent="0.35">
      <c r="A507" t="s">
        <v>551</v>
      </c>
      <c r="B507" s="2">
        <v>45804</v>
      </c>
      <c r="C507" t="s">
        <v>29</v>
      </c>
      <c r="D507" t="s">
        <v>33</v>
      </c>
      <c r="E507" t="s">
        <v>26</v>
      </c>
      <c r="F507" t="s">
        <v>27</v>
      </c>
      <c r="G507">
        <v>8</v>
      </c>
      <c r="H507" s="3">
        <v>12397.32</v>
      </c>
      <c r="I507" s="3">
        <v>99178.559999999998</v>
      </c>
      <c r="J507" s="3">
        <v>72963.259999999995</v>
      </c>
      <c r="K507" s="3">
        <v>26215.3</v>
      </c>
      <c r="L507" t="s">
        <v>52</v>
      </c>
      <c r="M507" s="7">
        <f t="shared" si="7"/>
        <v>0.26432426524442382</v>
      </c>
    </row>
    <row r="508" spans="1:13" x14ac:dyDescent="0.35">
      <c r="A508" t="s">
        <v>552</v>
      </c>
      <c r="B508" s="2">
        <v>45725</v>
      </c>
      <c r="C508" t="s">
        <v>29</v>
      </c>
      <c r="D508" t="s">
        <v>30</v>
      </c>
      <c r="E508" t="s">
        <v>21</v>
      </c>
      <c r="F508" t="s">
        <v>101</v>
      </c>
      <c r="G508">
        <v>11</v>
      </c>
      <c r="H508" s="3">
        <v>7775.47</v>
      </c>
      <c r="I508" s="3">
        <v>85530.17</v>
      </c>
      <c r="J508" s="3">
        <v>58168.76</v>
      </c>
      <c r="K508" s="3">
        <v>27361.41</v>
      </c>
      <c r="L508" t="s">
        <v>52</v>
      </c>
      <c r="M508" s="7">
        <f t="shared" si="7"/>
        <v>0.31990360828231723</v>
      </c>
    </row>
    <row r="509" spans="1:13" x14ac:dyDescent="0.35">
      <c r="A509" t="s">
        <v>553</v>
      </c>
      <c r="B509" s="2">
        <v>45666</v>
      </c>
      <c r="C509" t="s">
        <v>29</v>
      </c>
      <c r="D509" t="s">
        <v>25</v>
      </c>
      <c r="E509" t="s">
        <v>46</v>
      </c>
      <c r="F509" t="s">
        <v>70</v>
      </c>
      <c r="G509">
        <v>5</v>
      </c>
      <c r="H509" s="3">
        <v>2147.54</v>
      </c>
      <c r="I509" s="3">
        <v>10737.7</v>
      </c>
      <c r="J509" s="3">
        <v>7368.16</v>
      </c>
      <c r="K509" s="3">
        <v>3369.54</v>
      </c>
      <c r="L509" t="s">
        <v>17</v>
      </c>
      <c r="M509" s="7">
        <f t="shared" si="7"/>
        <v>0.31380463227693078</v>
      </c>
    </row>
    <row r="510" spans="1:13" x14ac:dyDescent="0.35">
      <c r="A510" t="s">
        <v>554</v>
      </c>
      <c r="B510" s="2">
        <v>45953</v>
      </c>
      <c r="C510" t="s">
        <v>13</v>
      </c>
      <c r="D510" t="s">
        <v>20</v>
      </c>
      <c r="E510" t="s">
        <v>21</v>
      </c>
      <c r="F510" t="s">
        <v>22</v>
      </c>
      <c r="G510">
        <v>14</v>
      </c>
      <c r="H510" s="3">
        <v>12033.17</v>
      </c>
      <c r="I510" s="3">
        <v>168464.38</v>
      </c>
      <c r="J510" s="3">
        <v>115244.63</v>
      </c>
      <c r="K510" s="3">
        <v>53219.75</v>
      </c>
      <c r="L510" t="s">
        <v>17</v>
      </c>
      <c r="M510" s="7">
        <f t="shared" si="7"/>
        <v>0.31591099554695179</v>
      </c>
    </row>
    <row r="511" spans="1:13" x14ac:dyDescent="0.35">
      <c r="A511" t="s">
        <v>555</v>
      </c>
      <c r="B511" s="2">
        <v>45904</v>
      </c>
      <c r="C511" t="s">
        <v>42</v>
      </c>
      <c r="D511" t="s">
        <v>54</v>
      </c>
      <c r="E511" t="s">
        <v>15</v>
      </c>
      <c r="F511" t="s">
        <v>34</v>
      </c>
      <c r="G511">
        <v>9</v>
      </c>
      <c r="H511" s="3">
        <v>128.24</v>
      </c>
      <c r="I511" s="3">
        <v>1154.1600000000001</v>
      </c>
      <c r="J511" s="3">
        <v>717.58</v>
      </c>
      <c r="K511" s="3">
        <v>436.58</v>
      </c>
      <c r="L511" t="s">
        <v>17</v>
      </c>
      <c r="M511" s="7">
        <f t="shared" si="7"/>
        <v>0.37826644486033129</v>
      </c>
    </row>
    <row r="512" spans="1:13" x14ac:dyDescent="0.35">
      <c r="A512" t="s">
        <v>556</v>
      </c>
      <c r="B512" s="2">
        <v>45979</v>
      </c>
      <c r="C512" t="s">
        <v>29</v>
      </c>
      <c r="D512" t="s">
        <v>14</v>
      </c>
      <c r="E512" t="s">
        <v>21</v>
      </c>
      <c r="F512" t="s">
        <v>101</v>
      </c>
      <c r="G512">
        <v>20</v>
      </c>
      <c r="H512" s="3">
        <v>8103.21</v>
      </c>
      <c r="I512" s="3">
        <v>162064.20000000001</v>
      </c>
      <c r="J512" s="3">
        <v>134346.29</v>
      </c>
      <c r="K512" s="3">
        <v>27717.91</v>
      </c>
      <c r="L512" t="s">
        <v>17</v>
      </c>
      <c r="M512" s="7">
        <f t="shared" si="7"/>
        <v>0.17103043115012445</v>
      </c>
    </row>
    <row r="513" spans="1:13" x14ac:dyDescent="0.35">
      <c r="A513" t="s">
        <v>557</v>
      </c>
      <c r="B513" s="2">
        <v>45938</v>
      </c>
      <c r="C513" t="s">
        <v>13</v>
      </c>
      <c r="D513" t="s">
        <v>36</v>
      </c>
      <c r="E513" t="s">
        <v>21</v>
      </c>
      <c r="F513" t="s">
        <v>101</v>
      </c>
      <c r="G513">
        <v>15</v>
      </c>
      <c r="H513" s="3">
        <v>8758.4</v>
      </c>
      <c r="I513" s="3">
        <v>131376</v>
      </c>
      <c r="J513" s="3">
        <v>109162.03</v>
      </c>
      <c r="K513" s="3">
        <v>22213.97</v>
      </c>
      <c r="L513" t="s">
        <v>23</v>
      </c>
      <c r="M513" s="7">
        <f t="shared" si="7"/>
        <v>0.16908697174521983</v>
      </c>
    </row>
    <row r="514" spans="1:13" x14ac:dyDescent="0.35">
      <c r="A514" t="s">
        <v>558</v>
      </c>
      <c r="B514" s="2">
        <v>45823</v>
      </c>
      <c r="C514" t="s">
        <v>42</v>
      </c>
      <c r="D514" t="s">
        <v>14</v>
      </c>
      <c r="E514" t="s">
        <v>21</v>
      </c>
      <c r="F514" t="s">
        <v>22</v>
      </c>
      <c r="G514">
        <v>3</v>
      </c>
      <c r="H514" s="3">
        <v>10220.1</v>
      </c>
      <c r="I514" s="3">
        <v>30660.3</v>
      </c>
      <c r="J514" s="3">
        <v>20037.52</v>
      </c>
      <c r="K514" s="3">
        <v>10622.78</v>
      </c>
      <c r="L514" t="s">
        <v>17</v>
      </c>
      <c r="M514" s="7">
        <f t="shared" ref="M514:M577" si="8">K514/I514</f>
        <v>0.34646692954732994</v>
      </c>
    </row>
    <row r="515" spans="1:13" x14ac:dyDescent="0.35">
      <c r="A515" t="s">
        <v>559</v>
      </c>
      <c r="B515" s="2">
        <v>45803</v>
      </c>
      <c r="C515" t="s">
        <v>29</v>
      </c>
      <c r="D515" t="s">
        <v>44</v>
      </c>
      <c r="E515" t="s">
        <v>26</v>
      </c>
      <c r="F515" t="s">
        <v>27</v>
      </c>
      <c r="G515">
        <v>1</v>
      </c>
      <c r="H515" s="3">
        <v>11602.4</v>
      </c>
      <c r="I515" s="3">
        <v>11602.4</v>
      </c>
      <c r="J515" s="3">
        <v>9251.25</v>
      </c>
      <c r="K515" s="3">
        <v>2351.15</v>
      </c>
      <c r="L515" t="s">
        <v>52</v>
      </c>
      <c r="M515" s="7">
        <f t="shared" si="8"/>
        <v>0.20264341860304766</v>
      </c>
    </row>
    <row r="516" spans="1:13" x14ac:dyDescent="0.35">
      <c r="A516" t="s">
        <v>560</v>
      </c>
      <c r="B516" s="2">
        <v>45995</v>
      </c>
      <c r="C516" t="s">
        <v>29</v>
      </c>
      <c r="D516" t="s">
        <v>30</v>
      </c>
      <c r="E516" t="s">
        <v>46</v>
      </c>
      <c r="F516" t="s">
        <v>47</v>
      </c>
      <c r="G516">
        <v>19</v>
      </c>
      <c r="H516" s="3">
        <v>629.25</v>
      </c>
      <c r="I516" s="3">
        <v>11955.75</v>
      </c>
      <c r="J516" s="3">
        <v>9603.01</v>
      </c>
      <c r="K516" s="3">
        <v>2352.7399999999998</v>
      </c>
      <c r="L516" t="s">
        <v>52</v>
      </c>
      <c r="M516" s="7">
        <f t="shared" si="8"/>
        <v>0.19678731990883047</v>
      </c>
    </row>
    <row r="517" spans="1:13" x14ac:dyDescent="0.35">
      <c r="A517" t="s">
        <v>561</v>
      </c>
      <c r="B517" s="2">
        <v>45898</v>
      </c>
      <c r="C517" t="s">
        <v>13</v>
      </c>
      <c r="D517" t="s">
        <v>54</v>
      </c>
      <c r="E517" t="s">
        <v>46</v>
      </c>
      <c r="F517" t="s">
        <v>70</v>
      </c>
      <c r="G517">
        <v>2</v>
      </c>
      <c r="H517" s="3">
        <v>2106.13</v>
      </c>
      <c r="I517" s="3">
        <v>4212.26</v>
      </c>
      <c r="J517" s="3">
        <v>3276.6</v>
      </c>
      <c r="K517" s="3">
        <v>935.66</v>
      </c>
      <c r="L517" t="s">
        <v>52</v>
      </c>
      <c r="M517" s="7">
        <f t="shared" si="8"/>
        <v>0.22212778888292745</v>
      </c>
    </row>
    <row r="518" spans="1:13" x14ac:dyDescent="0.35">
      <c r="A518" t="s">
        <v>562</v>
      </c>
      <c r="B518" s="2">
        <v>45871</v>
      </c>
      <c r="C518" t="s">
        <v>42</v>
      </c>
      <c r="D518" t="s">
        <v>68</v>
      </c>
      <c r="E518" t="s">
        <v>26</v>
      </c>
      <c r="F518" t="s">
        <v>31</v>
      </c>
      <c r="G518">
        <v>13</v>
      </c>
      <c r="H518" s="3">
        <v>43631.75</v>
      </c>
      <c r="I518" s="3">
        <v>567212.75</v>
      </c>
      <c r="J518" s="3">
        <v>479436.78</v>
      </c>
      <c r="K518" s="3">
        <v>87775.97</v>
      </c>
      <c r="L518" t="s">
        <v>17</v>
      </c>
      <c r="M518" s="7">
        <f t="shared" si="8"/>
        <v>0.15474964199940852</v>
      </c>
    </row>
    <row r="519" spans="1:13" x14ac:dyDescent="0.35">
      <c r="A519" t="s">
        <v>563</v>
      </c>
      <c r="B519" s="2">
        <v>45888</v>
      </c>
      <c r="C519" t="s">
        <v>29</v>
      </c>
      <c r="D519" t="s">
        <v>36</v>
      </c>
      <c r="E519" t="s">
        <v>15</v>
      </c>
      <c r="F519" t="s">
        <v>16</v>
      </c>
      <c r="G519">
        <v>10</v>
      </c>
      <c r="H519" s="3">
        <v>255.89</v>
      </c>
      <c r="I519" s="3">
        <v>2558.9</v>
      </c>
      <c r="J519" s="3">
        <v>1912.34</v>
      </c>
      <c r="K519" s="3">
        <v>646.55999999999995</v>
      </c>
      <c r="L519" t="s">
        <v>52</v>
      </c>
      <c r="M519" s="7">
        <f t="shared" si="8"/>
        <v>0.25267106960021879</v>
      </c>
    </row>
    <row r="520" spans="1:13" x14ac:dyDescent="0.35">
      <c r="A520" t="s">
        <v>564</v>
      </c>
      <c r="B520" s="2">
        <v>45830</v>
      </c>
      <c r="C520" t="s">
        <v>19</v>
      </c>
      <c r="D520" t="s">
        <v>33</v>
      </c>
      <c r="E520" t="s">
        <v>46</v>
      </c>
      <c r="F520" t="s">
        <v>51</v>
      </c>
      <c r="G520">
        <v>19</v>
      </c>
      <c r="H520" s="3">
        <v>3341.63</v>
      </c>
      <c r="I520" s="3">
        <v>63490.97</v>
      </c>
      <c r="J520" s="3">
        <v>53601.58</v>
      </c>
      <c r="K520" s="3">
        <v>9889.39</v>
      </c>
      <c r="L520" t="s">
        <v>23</v>
      </c>
      <c r="M520" s="7">
        <f t="shared" si="8"/>
        <v>0.15576057508650443</v>
      </c>
    </row>
    <row r="521" spans="1:13" x14ac:dyDescent="0.35">
      <c r="A521" t="s">
        <v>565</v>
      </c>
      <c r="B521" s="2">
        <v>45898</v>
      </c>
      <c r="C521" t="s">
        <v>29</v>
      </c>
      <c r="D521" t="s">
        <v>36</v>
      </c>
      <c r="E521" t="s">
        <v>15</v>
      </c>
      <c r="F521" t="s">
        <v>37</v>
      </c>
      <c r="G521">
        <v>1</v>
      </c>
      <c r="H521" s="3">
        <v>376.24</v>
      </c>
      <c r="I521" s="3">
        <v>376.24</v>
      </c>
      <c r="J521" s="3">
        <v>266.99</v>
      </c>
      <c r="K521" s="3">
        <v>109.25</v>
      </c>
      <c r="L521" t="s">
        <v>52</v>
      </c>
      <c r="M521" s="7">
        <f t="shared" si="8"/>
        <v>0.29037316606421432</v>
      </c>
    </row>
    <row r="522" spans="1:13" x14ac:dyDescent="0.35">
      <c r="A522" t="s">
        <v>566</v>
      </c>
      <c r="B522" s="2">
        <v>45765</v>
      </c>
      <c r="C522" t="s">
        <v>19</v>
      </c>
      <c r="D522" t="s">
        <v>30</v>
      </c>
      <c r="E522" t="s">
        <v>15</v>
      </c>
      <c r="F522" t="s">
        <v>34</v>
      </c>
      <c r="G522">
        <v>5</v>
      </c>
      <c r="H522" s="3">
        <v>110.03</v>
      </c>
      <c r="I522" s="3">
        <v>550.15</v>
      </c>
      <c r="J522" s="3">
        <v>385.52</v>
      </c>
      <c r="K522" s="3">
        <v>164.63</v>
      </c>
      <c r="L522" t="s">
        <v>23</v>
      </c>
      <c r="M522" s="7">
        <f t="shared" si="8"/>
        <v>0.29924566027447058</v>
      </c>
    </row>
    <row r="523" spans="1:13" x14ac:dyDescent="0.35">
      <c r="A523" t="s">
        <v>567</v>
      </c>
      <c r="B523" s="2">
        <v>45726</v>
      </c>
      <c r="C523" t="s">
        <v>13</v>
      </c>
      <c r="D523" t="s">
        <v>54</v>
      </c>
      <c r="E523" t="s">
        <v>26</v>
      </c>
      <c r="F523" t="s">
        <v>65</v>
      </c>
      <c r="G523">
        <v>8</v>
      </c>
      <c r="H523" s="3">
        <v>774.5</v>
      </c>
      <c r="I523" s="3">
        <v>6196</v>
      </c>
      <c r="J523" s="3">
        <v>3919.69</v>
      </c>
      <c r="K523" s="3">
        <v>2276.31</v>
      </c>
      <c r="L523" t="s">
        <v>23</v>
      </c>
      <c r="M523" s="7">
        <f t="shared" si="8"/>
        <v>0.36738379599741766</v>
      </c>
    </row>
    <row r="524" spans="1:13" x14ac:dyDescent="0.35">
      <c r="A524" t="s">
        <v>568</v>
      </c>
      <c r="B524" s="2">
        <v>45896</v>
      </c>
      <c r="C524" t="s">
        <v>42</v>
      </c>
      <c r="D524" t="s">
        <v>54</v>
      </c>
      <c r="E524" t="s">
        <v>26</v>
      </c>
      <c r="F524" t="s">
        <v>31</v>
      </c>
      <c r="G524">
        <v>10</v>
      </c>
      <c r="H524" s="3">
        <v>45608.9</v>
      </c>
      <c r="I524" s="3">
        <v>456089</v>
      </c>
      <c r="J524" s="3">
        <v>310602.37</v>
      </c>
      <c r="K524" s="3">
        <v>145486.63</v>
      </c>
      <c r="L524" t="s">
        <v>52</v>
      </c>
      <c r="M524" s="7">
        <f t="shared" si="8"/>
        <v>0.318987368693391</v>
      </c>
    </row>
    <row r="525" spans="1:13" x14ac:dyDescent="0.35">
      <c r="A525" t="s">
        <v>569</v>
      </c>
      <c r="B525" s="2">
        <v>45791</v>
      </c>
      <c r="C525" t="s">
        <v>29</v>
      </c>
      <c r="D525" t="s">
        <v>25</v>
      </c>
      <c r="E525" t="s">
        <v>21</v>
      </c>
      <c r="F525" t="s">
        <v>63</v>
      </c>
      <c r="G525">
        <v>2</v>
      </c>
      <c r="H525" s="3">
        <v>6564.92</v>
      </c>
      <c r="I525" s="3">
        <v>13129.84</v>
      </c>
      <c r="J525" s="3">
        <v>9079.39</v>
      </c>
      <c r="K525" s="3">
        <v>4050.45</v>
      </c>
      <c r="L525" t="s">
        <v>52</v>
      </c>
      <c r="M525" s="7">
        <f t="shared" si="8"/>
        <v>0.30849195420507786</v>
      </c>
    </row>
    <row r="526" spans="1:13" x14ac:dyDescent="0.35">
      <c r="A526" t="s">
        <v>570</v>
      </c>
      <c r="B526" s="2">
        <v>45724</v>
      </c>
      <c r="C526" t="s">
        <v>13</v>
      </c>
      <c r="D526" t="s">
        <v>25</v>
      </c>
      <c r="E526" t="s">
        <v>21</v>
      </c>
      <c r="F526" t="s">
        <v>101</v>
      </c>
      <c r="G526">
        <v>18</v>
      </c>
      <c r="H526" s="3">
        <v>8330.91</v>
      </c>
      <c r="I526" s="3">
        <v>149956.38</v>
      </c>
      <c r="J526" s="3">
        <v>111483.37</v>
      </c>
      <c r="K526" s="3">
        <v>38473.01</v>
      </c>
      <c r="L526" t="s">
        <v>52</v>
      </c>
      <c r="M526" s="7">
        <f t="shared" si="8"/>
        <v>0.25656134137140413</v>
      </c>
    </row>
    <row r="527" spans="1:13" x14ac:dyDescent="0.35">
      <c r="A527" t="s">
        <v>571</v>
      </c>
      <c r="B527" s="2">
        <v>45837</v>
      </c>
      <c r="C527" t="s">
        <v>29</v>
      </c>
      <c r="D527" t="s">
        <v>25</v>
      </c>
      <c r="E527" t="s">
        <v>26</v>
      </c>
      <c r="F527" t="s">
        <v>65</v>
      </c>
      <c r="G527">
        <v>3</v>
      </c>
      <c r="H527" s="3">
        <v>756.97</v>
      </c>
      <c r="I527" s="3">
        <v>2270.91</v>
      </c>
      <c r="J527" s="3">
        <v>1938.92</v>
      </c>
      <c r="K527" s="3">
        <v>331.99</v>
      </c>
      <c r="L527" t="s">
        <v>23</v>
      </c>
      <c r="M527" s="7">
        <f t="shared" si="8"/>
        <v>0.14619249551941735</v>
      </c>
    </row>
    <row r="528" spans="1:13" x14ac:dyDescent="0.35">
      <c r="A528" t="s">
        <v>572</v>
      </c>
      <c r="B528" s="2">
        <v>45955</v>
      </c>
      <c r="C528" t="s">
        <v>29</v>
      </c>
      <c r="D528" t="s">
        <v>33</v>
      </c>
      <c r="E528" t="s">
        <v>26</v>
      </c>
      <c r="F528" t="s">
        <v>31</v>
      </c>
      <c r="G528">
        <v>17</v>
      </c>
      <c r="H528" s="3">
        <v>45847.91</v>
      </c>
      <c r="I528" s="3">
        <v>779414.47</v>
      </c>
      <c r="J528" s="3">
        <v>587640.84</v>
      </c>
      <c r="K528" s="3">
        <v>191773.63</v>
      </c>
      <c r="L528" t="s">
        <v>17</v>
      </c>
      <c r="M528" s="7">
        <f t="shared" si="8"/>
        <v>0.24604833164054551</v>
      </c>
    </row>
    <row r="529" spans="1:13" x14ac:dyDescent="0.35">
      <c r="A529" t="s">
        <v>573</v>
      </c>
      <c r="B529" s="2">
        <v>45957</v>
      </c>
      <c r="C529" t="s">
        <v>19</v>
      </c>
      <c r="D529" t="s">
        <v>36</v>
      </c>
      <c r="E529" t="s">
        <v>46</v>
      </c>
      <c r="F529" t="s">
        <v>47</v>
      </c>
      <c r="G529">
        <v>9</v>
      </c>
      <c r="H529" s="3">
        <v>622.73</v>
      </c>
      <c r="I529" s="3">
        <v>5604.57</v>
      </c>
      <c r="J529" s="3">
        <v>4007.81</v>
      </c>
      <c r="K529" s="3">
        <v>1596.76</v>
      </c>
      <c r="L529" t="s">
        <v>17</v>
      </c>
      <c r="M529" s="7">
        <f t="shared" si="8"/>
        <v>0.28490321291374721</v>
      </c>
    </row>
    <row r="530" spans="1:13" x14ac:dyDescent="0.35">
      <c r="A530" t="s">
        <v>574</v>
      </c>
      <c r="B530" s="2">
        <v>45948</v>
      </c>
      <c r="C530" t="s">
        <v>42</v>
      </c>
      <c r="D530" t="s">
        <v>39</v>
      </c>
      <c r="E530" t="s">
        <v>15</v>
      </c>
      <c r="F530" t="s">
        <v>16</v>
      </c>
      <c r="G530">
        <v>20</v>
      </c>
      <c r="H530" s="3">
        <v>249.27</v>
      </c>
      <c r="I530" s="3">
        <v>4985.3999999999996</v>
      </c>
      <c r="J530" s="3">
        <v>3300.06</v>
      </c>
      <c r="K530" s="3">
        <v>1685.34</v>
      </c>
      <c r="L530" t="s">
        <v>17</v>
      </c>
      <c r="M530" s="7">
        <f t="shared" si="8"/>
        <v>0.3380551209531833</v>
      </c>
    </row>
    <row r="531" spans="1:13" x14ac:dyDescent="0.35">
      <c r="A531" t="s">
        <v>575</v>
      </c>
      <c r="B531" s="2">
        <v>45836</v>
      </c>
      <c r="C531" t="s">
        <v>42</v>
      </c>
      <c r="D531" t="s">
        <v>36</v>
      </c>
      <c r="E531" t="s">
        <v>15</v>
      </c>
      <c r="F531" t="s">
        <v>34</v>
      </c>
      <c r="G531">
        <v>7</v>
      </c>
      <c r="H531" s="3">
        <v>110.35</v>
      </c>
      <c r="I531" s="3">
        <v>772.45</v>
      </c>
      <c r="J531" s="3">
        <v>620.82000000000005</v>
      </c>
      <c r="K531" s="3">
        <v>151.63</v>
      </c>
      <c r="L531" t="s">
        <v>23</v>
      </c>
      <c r="M531" s="7">
        <f t="shared" si="8"/>
        <v>0.19629749498349405</v>
      </c>
    </row>
    <row r="532" spans="1:13" x14ac:dyDescent="0.35">
      <c r="A532" t="s">
        <v>576</v>
      </c>
      <c r="B532" s="2">
        <v>46006</v>
      </c>
      <c r="C532" t="s">
        <v>19</v>
      </c>
      <c r="D532" t="s">
        <v>30</v>
      </c>
      <c r="E532" t="s">
        <v>46</v>
      </c>
      <c r="F532" t="s">
        <v>47</v>
      </c>
      <c r="G532">
        <v>6</v>
      </c>
      <c r="H532" s="3">
        <v>541.26</v>
      </c>
      <c r="I532" s="3">
        <v>3247.56</v>
      </c>
      <c r="J532" s="3">
        <v>2698.76</v>
      </c>
      <c r="K532" s="3">
        <v>548.79999999999995</v>
      </c>
      <c r="L532" t="s">
        <v>17</v>
      </c>
      <c r="M532" s="7">
        <f t="shared" si="8"/>
        <v>0.16898840975994284</v>
      </c>
    </row>
    <row r="533" spans="1:13" x14ac:dyDescent="0.35">
      <c r="A533" t="s">
        <v>577</v>
      </c>
      <c r="B533" s="2">
        <v>45770</v>
      </c>
      <c r="C533" t="s">
        <v>19</v>
      </c>
      <c r="D533" t="s">
        <v>20</v>
      </c>
      <c r="E533" t="s">
        <v>21</v>
      </c>
      <c r="F533" t="s">
        <v>22</v>
      </c>
      <c r="G533">
        <v>11</v>
      </c>
      <c r="H533" s="3">
        <v>10700.01</v>
      </c>
      <c r="I533" s="3">
        <v>117700.11</v>
      </c>
      <c r="J533" s="3">
        <v>92915.839999999997</v>
      </c>
      <c r="K533" s="3">
        <v>24784.27</v>
      </c>
      <c r="L533" t="s">
        <v>23</v>
      </c>
      <c r="M533" s="7">
        <f t="shared" si="8"/>
        <v>0.2105713410123406</v>
      </c>
    </row>
    <row r="534" spans="1:13" x14ac:dyDescent="0.35">
      <c r="A534" t="s">
        <v>578</v>
      </c>
      <c r="B534" s="2">
        <v>45684</v>
      </c>
      <c r="C534" t="s">
        <v>42</v>
      </c>
      <c r="D534" t="s">
        <v>33</v>
      </c>
      <c r="E534" t="s">
        <v>15</v>
      </c>
      <c r="F534" t="s">
        <v>16</v>
      </c>
      <c r="G534">
        <v>16</v>
      </c>
      <c r="H534" s="3">
        <v>261.73</v>
      </c>
      <c r="I534" s="3">
        <v>4187.68</v>
      </c>
      <c r="J534" s="3">
        <v>3220.62</v>
      </c>
      <c r="K534" s="3">
        <v>967.06</v>
      </c>
      <c r="L534" t="s">
        <v>52</v>
      </c>
      <c r="M534" s="7">
        <f t="shared" si="8"/>
        <v>0.23092977495892711</v>
      </c>
    </row>
    <row r="535" spans="1:13" x14ac:dyDescent="0.35">
      <c r="A535" t="s">
        <v>579</v>
      </c>
      <c r="B535" s="2">
        <v>45870</v>
      </c>
      <c r="C535" t="s">
        <v>13</v>
      </c>
      <c r="D535" t="s">
        <v>20</v>
      </c>
      <c r="E535" t="s">
        <v>46</v>
      </c>
      <c r="F535" t="s">
        <v>70</v>
      </c>
      <c r="G535">
        <v>3</v>
      </c>
      <c r="H535" s="3">
        <v>2212.02</v>
      </c>
      <c r="I535" s="3">
        <v>6636.06</v>
      </c>
      <c r="J535" s="3">
        <v>5152.2</v>
      </c>
      <c r="K535" s="3">
        <v>1483.86</v>
      </c>
      <c r="L535" t="s">
        <v>17</v>
      </c>
      <c r="M535" s="7">
        <f t="shared" si="8"/>
        <v>0.22360557318649918</v>
      </c>
    </row>
    <row r="536" spans="1:13" x14ac:dyDescent="0.35">
      <c r="A536" t="s">
        <v>580</v>
      </c>
      <c r="B536" s="2">
        <v>45694</v>
      </c>
      <c r="C536" t="s">
        <v>19</v>
      </c>
      <c r="D536" t="s">
        <v>20</v>
      </c>
      <c r="E536" t="s">
        <v>15</v>
      </c>
      <c r="F536" t="s">
        <v>16</v>
      </c>
      <c r="G536">
        <v>13</v>
      </c>
      <c r="H536" s="3">
        <v>266.95</v>
      </c>
      <c r="I536" s="3">
        <v>3470.35</v>
      </c>
      <c r="J536" s="3">
        <v>2876.22</v>
      </c>
      <c r="K536" s="3">
        <v>594.13</v>
      </c>
      <c r="L536" t="s">
        <v>23</v>
      </c>
      <c r="M536" s="7">
        <f t="shared" si="8"/>
        <v>0.17120175198467014</v>
      </c>
    </row>
    <row r="537" spans="1:13" x14ac:dyDescent="0.35">
      <c r="A537" t="s">
        <v>581</v>
      </c>
      <c r="B537" s="2">
        <v>45906</v>
      </c>
      <c r="C537" t="s">
        <v>29</v>
      </c>
      <c r="D537" t="s">
        <v>36</v>
      </c>
      <c r="E537" t="s">
        <v>46</v>
      </c>
      <c r="F537" t="s">
        <v>70</v>
      </c>
      <c r="G537">
        <v>1</v>
      </c>
      <c r="H537" s="3">
        <v>2039.01</v>
      </c>
      <c r="I537" s="3">
        <v>2039.01</v>
      </c>
      <c r="J537" s="3">
        <v>1368.78</v>
      </c>
      <c r="K537" s="3">
        <v>670.23</v>
      </c>
      <c r="L537" t="s">
        <v>23</v>
      </c>
      <c r="M537" s="7">
        <f t="shared" si="8"/>
        <v>0.32870363558785881</v>
      </c>
    </row>
    <row r="538" spans="1:13" x14ac:dyDescent="0.35">
      <c r="A538" t="s">
        <v>582</v>
      </c>
      <c r="B538" s="2">
        <v>45733</v>
      </c>
      <c r="C538" t="s">
        <v>13</v>
      </c>
      <c r="D538" t="s">
        <v>20</v>
      </c>
      <c r="E538" t="s">
        <v>15</v>
      </c>
      <c r="F538" t="s">
        <v>34</v>
      </c>
      <c r="G538">
        <v>17</v>
      </c>
      <c r="H538" s="3">
        <v>122.27</v>
      </c>
      <c r="I538" s="3">
        <v>2078.59</v>
      </c>
      <c r="J538" s="3">
        <v>1574.39</v>
      </c>
      <c r="K538" s="3">
        <v>504.2</v>
      </c>
      <c r="L538" t="s">
        <v>23</v>
      </c>
      <c r="M538" s="7">
        <f t="shared" si="8"/>
        <v>0.24256827945867149</v>
      </c>
    </row>
    <row r="539" spans="1:13" x14ac:dyDescent="0.35">
      <c r="A539" t="s">
        <v>583</v>
      </c>
      <c r="B539" s="2">
        <v>45739</v>
      </c>
      <c r="C539" t="s">
        <v>19</v>
      </c>
      <c r="D539" t="s">
        <v>54</v>
      </c>
      <c r="E539" t="s">
        <v>26</v>
      </c>
      <c r="F539" t="s">
        <v>49</v>
      </c>
      <c r="G539">
        <v>2</v>
      </c>
      <c r="H539" s="3">
        <v>1477.2</v>
      </c>
      <c r="I539" s="3">
        <v>2954.4</v>
      </c>
      <c r="J539" s="3">
        <v>2261.13</v>
      </c>
      <c r="K539" s="3">
        <v>693.27</v>
      </c>
      <c r="L539" t="s">
        <v>23</v>
      </c>
      <c r="M539" s="7">
        <f t="shared" si="8"/>
        <v>0.23465678310316815</v>
      </c>
    </row>
    <row r="540" spans="1:13" x14ac:dyDescent="0.35">
      <c r="A540" t="s">
        <v>584</v>
      </c>
      <c r="B540" s="2">
        <v>45824</v>
      </c>
      <c r="C540" t="s">
        <v>42</v>
      </c>
      <c r="D540" t="s">
        <v>20</v>
      </c>
      <c r="E540" t="s">
        <v>21</v>
      </c>
      <c r="F540" t="s">
        <v>22</v>
      </c>
      <c r="G540">
        <v>8</v>
      </c>
      <c r="H540" s="3">
        <v>11389.18</v>
      </c>
      <c r="I540" s="3">
        <v>91113.44</v>
      </c>
      <c r="J540" s="3">
        <v>57877.43</v>
      </c>
      <c r="K540" s="3">
        <v>33236.01</v>
      </c>
      <c r="L540" t="s">
        <v>23</v>
      </c>
      <c r="M540" s="7">
        <f t="shared" si="8"/>
        <v>0.36477615157544269</v>
      </c>
    </row>
    <row r="541" spans="1:13" x14ac:dyDescent="0.35">
      <c r="A541" t="s">
        <v>585</v>
      </c>
      <c r="B541" s="2">
        <v>45736</v>
      </c>
      <c r="C541" t="s">
        <v>19</v>
      </c>
      <c r="D541" t="s">
        <v>44</v>
      </c>
      <c r="E541" t="s">
        <v>15</v>
      </c>
      <c r="F541" t="s">
        <v>37</v>
      </c>
      <c r="G541">
        <v>16</v>
      </c>
      <c r="H541" s="3">
        <v>377.41</v>
      </c>
      <c r="I541" s="3">
        <v>6038.56</v>
      </c>
      <c r="J541" s="3">
        <v>4608.04</v>
      </c>
      <c r="K541" s="3">
        <v>1430.52</v>
      </c>
      <c r="L541" t="s">
        <v>17</v>
      </c>
      <c r="M541" s="7">
        <f t="shared" si="8"/>
        <v>0.23689753848599665</v>
      </c>
    </row>
    <row r="542" spans="1:13" x14ac:dyDescent="0.35">
      <c r="A542" t="s">
        <v>586</v>
      </c>
      <c r="B542" s="2">
        <v>45790</v>
      </c>
      <c r="C542" t="s">
        <v>13</v>
      </c>
      <c r="D542" t="s">
        <v>14</v>
      </c>
      <c r="E542" t="s">
        <v>21</v>
      </c>
      <c r="F542" t="s">
        <v>22</v>
      </c>
      <c r="G542">
        <v>12</v>
      </c>
      <c r="H542" s="3">
        <v>11706.25</v>
      </c>
      <c r="I542" s="3">
        <v>140475</v>
      </c>
      <c r="J542" s="3">
        <v>113116.79</v>
      </c>
      <c r="K542" s="3">
        <v>27358.21</v>
      </c>
      <c r="L542" t="s">
        <v>23</v>
      </c>
      <c r="M542" s="7">
        <f t="shared" si="8"/>
        <v>0.19475500978821852</v>
      </c>
    </row>
    <row r="543" spans="1:13" x14ac:dyDescent="0.35">
      <c r="A543" t="s">
        <v>587</v>
      </c>
      <c r="B543" s="2">
        <v>45715</v>
      </c>
      <c r="C543" t="s">
        <v>13</v>
      </c>
      <c r="D543" t="s">
        <v>54</v>
      </c>
      <c r="E543" t="s">
        <v>21</v>
      </c>
      <c r="F543" t="s">
        <v>101</v>
      </c>
      <c r="G543">
        <v>5</v>
      </c>
      <c r="H543" s="3">
        <v>8278</v>
      </c>
      <c r="I543" s="3">
        <v>41390</v>
      </c>
      <c r="J543" s="3">
        <v>26670.240000000002</v>
      </c>
      <c r="K543" s="3">
        <v>14719.76</v>
      </c>
      <c r="L543" t="s">
        <v>17</v>
      </c>
      <c r="M543" s="7">
        <f t="shared" si="8"/>
        <v>0.35563566078762987</v>
      </c>
    </row>
    <row r="544" spans="1:13" x14ac:dyDescent="0.35">
      <c r="A544" t="s">
        <v>588</v>
      </c>
      <c r="B544" s="2">
        <v>45721</v>
      </c>
      <c r="C544" t="s">
        <v>13</v>
      </c>
      <c r="D544" t="s">
        <v>33</v>
      </c>
      <c r="E544" t="s">
        <v>15</v>
      </c>
      <c r="F544" t="s">
        <v>34</v>
      </c>
      <c r="G544">
        <v>1</v>
      </c>
      <c r="H544" s="3">
        <v>121.03</v>
      </c>
      <c r="I544" s="3">
        <v>121.03</v>
      </c>
      <c r="J544" s="3">
        <v>104.08</v>
      </c>
      <c r="K544" s="3">
        <v>16.95</v>
      </c>
      <c r="L544" t="s">
        <v>23</v>
      </c>
      <c r="M544" s="7">
        <f t="shared" si="8"/>
        <v>0.14004792200280922</v>
      </c>
    </row>
    <row r="545" spans="1:13" x14ac:dyDescent="0.35">
      <c r="A545" t="s">
        <v>589</v>
      </c>
      <c r="B545" s="2">
        <v>45959</v>
      </c>
      <c r="C545" t="s">
        <v>42</v>
      </c>
      <c r="D545" t="s">
        <v>44</v>
      </c>
      <c r="E545" t="s">
        <v>46</v>
      </c>
      <c r="F545" t="s">
        <v>47</v>
      </c>
      <c r="G545">
        <v>15</v>
      </c>
      <c r="H545" s="3">
        <v>656.3</v>
      </c>
      <c r="I545" s="3">
        <v>9844.5</v>
      </c>
      <c r="J545" s="3">
        <v>7968.09</v>
      </c>
      <c r="K545" s="3">
        <v>1876.41</v>
      </c>
      <c r="L545" t="s">
        <v>17</v>
      </c>
      <c r="M545" s="7">
        <f t="shared" si="8"/>
        <v>0.1906049062928539</v>
      </c>
    </row>
    <row r="546" spans="1:13" x14ac:dyDescent="0.35">
      <c r="A546" t="s">
        <v>590</v>
      </c>
      <c r="B546" s="2">
        <v>45819</v>
      </c>
      <c r="C546" t="s">
        <v>29</v>
      </c>
      <c r="D546" t="s">
        <v>20</v>
      </c>
      <c r="E546" t="s">
        <v>21</v>
      </c>
      <c r="F546" t="s">
        <v>22</v>
      </c>
      <c r="G546">
        <v>19</v>
      </c>
      <c r="H546" s="3">
        <v>10645.09</v>
      </c>
      <c r="I546" s="3">
        <v>202256.71</v>
      </c>
      <c r="J546" s="3">
        <v>155791.85999999999</v>
      </c>
      <c r="K546" s="3">
        <v>46464.85</v>
      </c>
      <c r="L546" t="s">
        <v>23</v>
      </c>
      <c r="M546" s="7">
        <f t="shared" si="8"/>
        <v>0.22973205684993098</v>
      </c>
    </row>
    <row r="547" spans="1:13" x14ac:dyDescent="0.35">
      <c r="A547" t="s">
        <v>591</v>
      </c>
      <c r="B547" s="2">
        <v>45867</v>
      </c>
      <c r="C547" t="s">
        <v>29</v>
      </c>
      <c r="D547" t="s">
        <v>30</v>
      </c>
      <c r="E547" t="s">
        <v>26</v>
      </c>
      <c r="F547" t="s">
        <v>31</v>
      </c>
      <c r="G547">
        <v>7</v>
      </c>
      <c r="H547" s="3">
        <v>44569.68</v>
      </c>
      <c r="I547" s="3">
        <v>311987.76</v>
      </c>
      <c r="J547" s="3">
        <v>256829.94</v>
      </c>
      <c r="K547" s="3">
        <v>55157.82</v>
      </c>
      <c r="L547" t="s">
        <v>52</v>
      </c>
      <c r="M547" s="7">
        <f t="shared" si="8"/>
        <v>0.17679482041218539</v>
      </c>
    </row>
    <row r="548" spans="1:13" x14ac:dyDescent="0.35">
      <c r="A548" t="s">
        <v>592</v>
      </c>
      <c r="B548" s="2">
        <v>45838</v>
      </c>
      <c r="C548" t="s">
        <v>13</v>
      </c>
      <c r="D548" t="s">
        <v>39</v>
      </c>
      <c r="E548" t="s">
        <v>46</v>
      </c>
      <c r="F548" t="s">
        <v>51</v>
      </c>
      <c r="G548">
        <v>18</v>
      </c>
      <c r="H548" s="3">
        <v>3054.3</v>
      </c>
      <c r="I548" s="3">
        <v>54977.4</v>
      </c>
      <c r="J548" s="3">
        <v>37073.82</v>
      </c>
      <c r="K548" s="3">
        <v>17903.580000000002</v>
      </c>
      <c r="L548" t="s">
        <v>52</v>
      </c>
      <c r="M548" s="7">
        <f t="shared" si="8"/>
        <v>0.3256534503268616</v>
      </c>
    </row>
    <row r="549" spans="1:13" x14ac:dyDescent="0.35">
      <c r="A549" t="s">
        <v>593</v>
      </c>
      <c r="B549" s="2">
        <v>45853</v>
      </c>
      <c r="C549" t="s">
        <v>29</v>
      </c>
      <c r="D549" t="s">
        <v>14</v>
      </c>
      <c r="E549" t="s">
        <v>46</v>
      </c>
      <c r="F549" t="s">
        <v>47</v>
      </c>
      <c r="G549">
        <v>7</v>
      </c>
      <c r="H549" s="3">
        <v>653.5</v>
      </c>
      <c r="I549" s="3">
        <v>4574.5</v>
      </c>
      <c r="J549" s="3">
        <v>3568.54</v>
      </c>
      <c r="K549" s="3">
        <v>1005.96</v>
      </c>
      <c r="L549" t="s">
        <v>52</v>
      </c>
      <c r="M549" s="7">
        <f t="shared" si="8"/>
        <v>0.2199060006558094</v>
      </c>
    </row>
    <row r="550" spans="1:13" x14ac:dyDescent="0.35">
      <c r="A550" t="s">
        <v>594</v>
      </c>
      <c r="B550" s="2">
        <v>45725</v>
      </c>
      <c r="C550" t="s">
        <v>13</v>
      </c>
      <c r="D550" t="s">
        <v>30</v>
      </c>
      <c r="E550" t="s">
        <v>21</v>
      </c>
      <c r="F550" t="s">
        <v>101</v>
      </c>
      <c r="G550">
        <v>18</v>
      </c>
      <c r="H550" s="3">
        <v>8470.94</v>
      </c>
      <c r="I550" s="3">
        <v>152476.92000000001</v>
      </c>
      <c r="J550" s="3">
        <v>97166.61</v>
      </c>
      <c r="K550" s="3">
        <v>55310.31</v>
      </c>
      <c r="L550" t="s">
        <v>17</v>
      </c>
      <c r="M550" s="7">
        <f t="shared" si="8"/>
        <v>0.36274545682061254</v>
      </c>
    </row>
    <row r="551" spans="1:13" x14ac:dyDescent="0.35">
      <c r="A551" t="s">
        <v>595</v>
      </c>
      <c r="B551" s="2">
        <v>45804</v>
      </c>
      <c r="C551" t="s">
        <v>42</v>
      </c>
      <c r="D551" t="s">
        <v>68</v>
      </c>
      <c r="E551" t="s">
        <v>46</v>
      </c>
      <c r="F551" t="s">
        <v>70</v>
      </c>
      <c r="G551">
        <v>14</v>
      </c>
      <c r="H551" s="3">
        <v>2289.1799999999998</v>
      </c>
      <c r="I551" s="3">
        <v>32048.52</v>
      </c>
      <c r="J551" s="3">
        <v>27352.11</v>
      </c>
      <c r="K551" s="3">
        <v>4696.41</v>
      </c>
      <c r="L551" t="s">
        <v>17</v>
      </c>
      <c r="M551" s="7">
        <f t="shared" si="8"/>
        <v>0.14654062028449363</v>
      </c>
    </row>
    <row r="552" spans="1:13" x14ac:dyDescent="0.35">
      <c r="A552" t="s">
        <v>596</v>
      </c>
      <c r="B552" s="2">
        <v>45762</v>
      </c>
      <c r="C552" t="s">
        <v>13</v>
      </c>
      <c r="D552" t="s">
        <v>68</v>
      </c>
      <c r="E552" t="s">
        <v>15</v>
      </c>
      <c r="F552" t="s">
        <v>16</v>
      </c>
      <c r="G552">
        <v>16</v>
      </c>
      <c r="H552" s="3">
        <v>259.39</v>
      </c>
      <c r="I552" s="3">
        <v>4150.24</v>
      </c>
      <c r="J552" s="3">
        <v>3198.65</v>
      </c>
      <c r="K552" s="3">
        <v>951.59</v>
      </c>
      <c r="L552" t="s">
        <v>23</v>
      </c>
      <c r="M552" s="7">
        <f t="shared" si="8"/>
        <v>0.22928553529434445</v>
      </c>
    </row>
    <row r="553" spans="1:13" x14ac:dyDescent="0.35">
      <c r="A553" t="s">
        <v>597</v>
      </c>
      <c r="B553" s="2">
        <v>46009</v>
      </c>
      <c r="C553" t="s">
        <v>42</v>
      </c>
      <c r="D553" t="s">
        <v>30</v>
      </c>
      <c r="E553" t="s">
        <v>46</v>
      </c>
      <c r="F553" t="s">
        <v>47</v>
      </c>
      <c r="G553">
        <v>15</v>
      </c>
      <c r="H553" s="3">
        <v>622.37</v>
      </c>
      <c r="I553" s="3">
        <v>9335.5499999999993</v>
      </c>
      <c r="J553" s="3">
        <v>7499.38</v>
      </c>
      <c r="K553" s="3">
        <v>1836.17</v>
      </c>
      <c r="L553" t="s">
        <v>17</v>
      </c>
      <c r="M553" s="7">
        <f t="shared" si="8"/>
        <v>0.1966857871255577</v>
      </c>
    </row>
    <row r="554" spans="1:13" x14ac:dyDescent="0.35">
      <c r="A554" t="s">
        <v>598</v>
      </c>
      <c r="B554" s="2">
        <v>45684</v>
      </c>
      <c r="C554" t="s">
        <v>29</v>
      </c>
      <c r="D554" t="s">
        <v>20</v>
      </c>
      <c r="E554" t="s">
        <v>21</v>
      </c>
      <c r="F554" t="s">
        <v>101</v>
      </c>
      <c r="G554">
        <v>19</v>
      </c>
      <c r="H554" s="3">
        <v>8517.69</v>
      </c>
      <c r="I554" s="3">
        <v>161836.10999999999</v>
      </c>
      <c r="J554" s="3">
        <v>129931.61</v>
      </c>
      <c r="K554" s="3">
        <v>31904.5</v>
      </c>
      <c r="L554" t="s">
        <v>23</v>
      </c>
      <c r="M554" s="7">
        <f t="shared" si="8"/>
        <v>0.19714079879947685</v>
      </c>
    </row>
    <row r="555" spans="1:13" x14ac:dyDescent="0.35">
      <c r="A555" t="s">
        <v>599</v>
      </c>
      <c r="B555" s="2">
        <v>46013</v>
      </c>
      <c r="C555" t="s">
        <v>29</v>
      </c>
      <c r="D555" t="s">
        <v>20</v>
      </c>
      <c r="E555" t="s">
        <v>21</v>
      </c>
      <c r="F555" t="s">
        <v>101</v>
      </c>
      <c r="G555">
        <v>9</v>
      </c>
      <c r="H555" s="3">
        <v>7800.49</v>
      </c>
      <c r="I555" s="3">
        <v>70204.41</v>
      </c>
      <c r="J555" s="3">
        <v>60208.37</v>
      </c>
      <c r="K555" s="3">
        <v>9996.0400000000009</v>
      </c>
      <c r="L555" t="s">
        <v>23</v>
      </c>
      <c r="M555" s="7">
        <f t="shared" si="8"/>
        <v>0.14238478750836309</v>
      </c>
    </row>
    <row r="556" spans="1:13" x14ac:dyDescent="0.35">
      <c r="A556" t="s">
        <v>600</v>
      </c>
      <c r="B556" s="2">
        <v>45672</v>
      </c>
      <c r="C556" t="s">
        <v>19</v>
      </c>
      <c r="D556" t="s">
        <v>44</v>
      </c>
      <c r="E556" t="s">
        <v>46</v>
      </c>
      <c r="F556" t="s">
        <v>51</v>
      </c>
      <c r="G556">
        <v>8</v>
      </c>
      <c r="H556" s="3">
        <v>2915.93</v>
      </c>
      <c r="I556" s="3">
        <v>23327.439999999999</v>
      </c>
      <c r="J556" s="3">
        <v>15685.72</v>
      </c>
      <c r="K556" s="3">
        <v>7641.72</v>
      </c>
      <c r="L556" t="s">
        <v>52</v>
      </c>
      <c r="M556" s="7">
        <f t="shared" si="8"/>
        <v>0.32758502433185988</v>
      </c>
    </row>
    <row r="557" spans="1:13" x14ac:dyDescent="0.35">
      <c r="A557" t="s">
        <v>601</v>
      </c>
      <c r="B557" s="2">
        <v>45723</v>
      </c>
      <c r="C557" t="s">
        <v>29</v>
      </c>
      <c r="D557" t="s">
        <v>44</v>
      </c>
      <c r="E557" t="s">
        <v>21</v>
      </c>
      <c r="F557" t="s">
        <v>22</v>
      </c>
      <c r="G557">
        <v>12</v>
      </c>
      <c r="H557" s="3">
        <v>11452.32</v>
      </c>
      <c r="I557" s="3">
        <v>137427.84</v>
      </c>
      <c r="J557" s="3">
        <v>114850.74</v>
      </c>
      <c r="K557" s="3">
        <v>22577.1</v>
      </c>
      <c r="L557" t="s">
        <v>23</v>
      </c>
      <c r="M557" s="7">
        <f t="shared" si="8"/>
        <v>0.16428330678849351</v>
      </c>
    </row>
    <row r="558" spans="1:13" x14ac:dyDescent="0.35">
      <c r="A558" t="s">
        <v>602</v>
      </c>
      <c r="B558" s="2">
        <v>45983</v>
      </c>
      <c r="C558" t="s">
        <v>13</v>
      </c>
      <c r="D558" t="s">
        <v>30</v>
      </c>
      <c r="E558" t="s">
        <v>46</v>
      </c>
      <c r="F558" t="s">
        <v>47</v>
      </c>
      <c r="G558">
        <v>4</v>
      </c>
      <c r="H558" s="3">
        <v>615.41</v>
      </c>
      <c r="I558" s="3">
        <v>2461.64</v>
      </c>
      <c r="J558" s="3">
        <v>2113.8000000000002</v>
      </c>
      <c r="K558" s="3">
        <v>347.84</v>
      </c>
      <c r="L558" t="s">
        <v>17</v>
      </c>
      <c r="M558" s="7">
        <f t="shared" si="8"/>
        <v>0.14130417120293787</v>
      </c>
    </row>
    <row r="559" spans="1:13" x14ac:dyDescent="0.35">
      <c r="A559" t="s">
        <v>603</v>
      </c>
      <c r="B559" s="2">
        <v>45735</v>
      </c>
      <c r="C559" t="s">
        <v>13</v>
      </c>
      <c r="D559" t="s">
        <v>25</v>
      </c>
      <c r="E559" t="s">
        <v>26</v>
      </c>
      <c r="F559" t="s">
        <v>31</v>
      </c>
      <c r="G559">
        <v>12</v>
      </c>
      <c r="H559" s="3">
        <v>49675.47</v>
      </c>
      <c r="I559" s="3">
        <v>596105.64</v>
      </c>
      <c r="J559" s="3">
        <v>479365.18</v>
      </c>
      <c r="K559" s="3">
        <v>116740.46</v>
      </c>
      <c r="L559" t="s">
        <v>17</v>
      </c>
      <c r="M559" s="7">
        <f t="shared" si="8"/>
        <v>0.19583854298040193</v>
      </c>
    </row>
    <row r="560" spans="1:13" x14ac:dyDescent="0.35">
      <c r="A560" t="s">
        <v>604</v>
      </c>
      <c r="B560" s="2">
        <v>45807</v>
      </c>
      <c r="C560" t="s">
        <v>29</v>
      </c>
      <c r="D560" t="s">
        <v>20</v>
      </c>
      <c r="E560" t="s">
        <v>26</v>
      </c>
      <c r="F560" t="s">
        <v>49</v>
      </c>
      <c r="G560">
        <v>2</v>
      </c>
      <c r="H560" s="3">
        <v>1571.33</v>
      </c>
      <c r="I560" s="3">
        <v>3142.66</v>
      </c>
      <c r="J560" s="3">
        <v>2255.54</v>
      </c>
      <c r="K560" s="3">
        <v>887.12</v>
      </c>
      <c r="L560" t="s">
        <v>52</v>
      </c>
      <c r="M560" s="7">
        <f t="shared" si="8"/>
        <v>0.28228316139830589</v>
      </c>
    </row>
    <row r="561" spans="1:13" x14ac:dyDescent="0.35">
      <c r="A561" t="s">
        <v>605</v>
      </c>
      <c r="B561" s="2">
        <v>45861</v>
      </c>
      <c r="C561" t="s">
        <v>42</v>
      </c>
      <c r="D561" t="s">
        <v>44</v>
      </c>
      <c r="E561" t="s">
        <v>15</v>
      </c>
      <c r="F561" t="s">
        <v>37</v>
      </c>
      <c r="G561">
        <v>15</v>
      </c>
      <c r="H561" s="3">
        <v>343.8</v>
      </c>
      <c r="I561" s="3">
        <v>5157</v>
      </c>
      <c r="J561" s="3">
        <v>3402.31</v>
      </c>
      <c r="K561" s="3">
        <v>1754.69</v>
      </c>
      <c r="L561" t="s">
        <v>17</v>
      </c>
      <c r="M561" s="7">
        <f t="shared" si="8"/>
        <v>0.34025402365716501</v>
      </c>
    </row>
    <row r="562" spans="1:13" x14ac:dyDescent="0.35">
      <c r="A562" t="s">
        <v>606</v>
      </c>
      <c r="B562" s="2">
        <v>45828</v>
      </c>
      <c r="C562" t="s">
        <v>29</v>
      </c>
      <c r="D562" t="s">
        <v>68</v>
      </c>
      <c r="E562" t="s">
        <v>15</v>
      </c>
      <c r="F562" t="s">
        <v>34</v>
      </c>
      <c r="G562">
        <v>8</v>
      </c>
      <c r="H562" s="3">
        <v>116.74</v>
      </c>
      <c r="I562" s="3">
        <v>933.92</v>
      </c>
      <c r="J562" s="3">
        <v>595.12</v>
      </c>
      <c r="K562" s="3">
        <v>338.8</v>
      </c>
      <c r="L562" t="s">
        <v>23</v>
      </c>
      <c r="M562" s="7">
        <f t="shared" si="8"/>
        <v>0.36277197190337507</v>
      </c>
    </row>
    <row r="563" spans="1:13" x14ac:dyDescent="0.35">
      <c r="A563" t="s">
        <v>607</v>
      </c>
      <c r="B563" s="2">
        <v>45870</v>
      </c>
      <c r="C563" t="s">
        <v>13</v>
      </c>
      <c r="D563" t="s">
        <v>14</v>
      </c>
      <c r="E563" t="s">
        <v>26</v>
      </c>
      <c r="F563" t="s">
        <v>65</v>
      </c>
      <c r="G563">
        <v>6</v>
      </c>
      <c r="H563" s="3">
        <v>655</v>
      </c>
      <c r="I563" s="3">
        <v>3930</v>
      </c>
      <c r="J563" s="3">
        <v>3178.8</v>
      </c>
      <c r="K563" s="3">
        <v>751.2</v>
      </c>
      <c r="L563" t="s">
        <v>23</v>
      </c>
      <c r="M563" s="7">
        <f t="shared" si="8"/>
        <v>0.19114503816793893</v>
      </c>
    </row>
    <row r="564" spans="1:13" x14ac:dyDescent="0.35">
      <c r="A564" t="s">
        <v>608</v>
      </c>
      <c r="B564" s="2">
        <v>45865</v>
      </c>
      <c r="C564" t="s">
        <v>13</v>
      </c>
      <c r="D564" t="s">
        <v>36</v>
      </c>
      <c r="E564" t="s">
        <v>46</v>
      </c>
      <c r="F564" t="s">
        <v>47</v>
      </c>
      <c r="G564">
        <v>1</v>
      </c>
      <c r="H564" s="3">
        <v>575.30999999999995</v>
      </c>
      <c r="I564" s="3">
        <v>575.30999999999995</v>
      </c>
      <c r="J564" s="3">
        <v>402.17</v>
      </c>
      <c r="K564" s="3">
        <v>173.14</v>
      </c>
      <c r="L564" t="s">
        <v>17</v>
      </c>
      <c r="M564" s="7">
        <f t="shared" si="8"/>
        <v>0.30095079174705813</v>
      </c>
    </row>
    <row r="565" spans="1:13" x14ac:dyDescent="0.35">
      <c r="A565" t="s">
        <v>609</v>
      </c>
      <c r="B565" s="2">
        <v>45958</v>
      </c>
      <c r="C565" t="s">
        <v>42</v>
      </c>
      <c r="D565" t="s">
        <v>39</v>
      </c>
      <c r="E565" t="s">
        <v>15</v>
      </c>
      <c r="F565" t="s">
        <v>16</v>
      </c>
      <c r="G565">
        <v>10</v>
      </c>
      <c r="H565" s="3">
        <v>239.12</v>
      </c>
      <c r="I565" s="3">
        <v>2391.1999999999998</v>
      </c>
      <c r="J565" s="3">
        <v>1507.99</v>
      </c>
      <c r="K565" s="3">
        <v>883.21</v>
      </c>
      <c r="L565" t="s">
        <v>52</v>
      </c>
      <c r="M565" s="7">
        <f t="shared" si="8"/>
        <v>0.36935848109735703</v>
      </c>
    </row>
    <row r="566" spans="1:13" x14ac:dyDescent="0.35">
      <c r="A566" t="s">
        <v>610</v>
      </c>
      <c r="B566" s="2">
        <v>45932</v>
      </c>
      <c r="C566" t="s">
        <v>13</v>
      </c>
      <c r="D566" t="s">
        <v>54</v>
      </c>
      <c r="E566" t="s">
        <v>15</v>
      </c>
      <c r="F566" t="s">
        <v>16</v>
      </c>
      <c r="G566">
        <v>6</v>
      </c>
      <c r="H566" s="3">
        <v>256.79000000000002</v>
      </c>
      <c r="I566" s="3">
        <v>1540.74</v>
      </c>
      <c r="J566" s="3">
        <v>1236.8</v>
      </c>
      <c r="K566" s="3">
        <v>303.94</v>
      </c>
      <c r="L566" t="s">
        <v>17</v>
      </c>
      <c r="M566" s="7">
        <f t="shared" si="8"/>
        <v>0.1972688448407908</v>
      </c>
    </row>
    <row r="567" spans="1:13" x14ac:dyDescent="0.35">
      <c r="A567" t="s">
        <v>611</v>
      </c>
      <c r="B567" s="2">
        <v>45846</v>
      </c>
      <c r="C567" t="s">
        <v>42</v>
      </c>
      <c r="D567" t="s">
        <v>33</v>
      </c>
      <c r="E567" t="s">
        <v>46</v>
      </c>
      <c r="F567" t="s">
        <v>70</v>
      </c>
      <c r="G567">
        <v>15</v>
      </c>
      <c r="H567" s="3">
        <v>2217.9899999999998</v>
      </c>
      <c r="I567" s="3">
        <v>33269.85</v>
      </c>
      <c r="J567" s="3">
        <v>27768.21</v>
      </c>
      <c r="K567" s="3">
        <v>5501.64</v>
      </c>
      <c r="L567" t="s">
        <v>52</v>
      </c>
      <c r="M567" s="7">
        <f t="shared" si="8"/>
        <v>0.16536413599700631</v>
      </c>
    </row>
    <row r="568" spans="1:13" x14ac:dyDescent="0.35">
      <c r="A568" t="s">
        <v>612</v>
      </c>
      <c r="B568" s="2">
        <v>45908</v>
      </c>
      <c r="C568" t="s">
        <v>19</v>
      </c>
      <c r="D568" t="s">
        <v>25</v>
      </c>
      <c r="E568" t="s">
        <v>21</v>
      </c>
      <c r="F568" t="s">
        <v>101</v>
      </c>
      <c r="G568">
        <v>16</v>
      </c>
      <c r="H568" s="3">
        <v>8075.22</v>
      </c>
      <c r="I568" s="3">
        <v>129203.52</v>
      </c>
      <c r="J568" s="3">
        <v>102056.43</v>
      </c>
      <c r="K568" s="3">
        <v>27147.09</v>
      </c>
      <c r="L568" t="s">
        <v>17</v>
      </c>
      <c r="M568" s="7">
        <f t="shared" si="8"/>
        <v>0.21011107127731504</v>
      </c>
    </row>
    <row r="569" spans="1:13" x14ac:dyDescent="0.35">
      <c r="A569" t="s">
        <v>613</v>
      </c>
      <c r="B569" s="2">
        <v>45721</v>
      </c>
      <c r="C569" t="s">
        <v>19</v>
      </c>
      <c r="D569" t="s">
        <v>39</v>
      </c>
      <c r="E569" t="s">
        <v>46</v>
      </c>
      <c r="F569" t="s">
        <v>47</v>
      </c>
      <c r="G569">
        <v>17</v>
      </c>
      <c r="H569" s="3">
        <v>574.52</v>
      </c>
      <c r="I569" s="3">
        <v>9766.84</v>
      </c>
      <c r="J569" s="3">
        <v>8359.82</v>
      </c>
      <c r="K569" s="3">
        <v>1407.02</v>
      </c>
      <c r="L569" t="s">
        <v>23</v>
      </c>
      <c r="M569" s="7">
        <f t="shared" si="8"/>
        <v>0.1440609245160154</v>
      </c>
    </row>
    <row r="570" spans="1:13" x14ac:dyDescent="0.35">
      <c r="A570" t="s">
        <v>614</v>
      </c>
      <c r="B570" s="2">
        <v>45684</v>
      </c>
      <c r="C570" t="s">
        <v>19</v>
      </c>
      <c r="D570" t="s">
        <v>25</v>
      </c>
      <c r="E570" t="s">
        <v>21</v>
      </c>
      <c r="F570" t="s">
        <v>101</v>
      </c>
      <c r="G570">
        <v>6</v>
      </c>
      <c r="H570" s="3">
        <v>8854.6299999999992</v>
      </c>
      <c r="I570" s="3">
        <v>53127.78</v>
      </c>
      <c r="J570" s="3">
        <v>42378.67</v>
      </c>
      <c r="K570" s="3">
        <v>10749.11</v>
      </c>
      <c r="L570" t="s">
        <v>17</v>
      </c>
      <c r="M570" s="7">
        <f t="shared" si="8"/>
        <v>0.20232560065562688</v>
      </c>
    </row>
    <row r="571" spans="1:13" x14ac:dyDescent="0.35">
      <c r="A571" t="s">
        <v>615</v>
      </c>
      <c r="B571" s="2">
        <v>45675</v>
      </c>
      <c r="C571" t="s">
        <v>29</v>
      </c>
      <c r="D571" t="s">
        <v>30</v>
      </c>
      <c r="E571" t="s">
        <v>26</v>
      </c>
      <c r="F571" t="s">
        <v>27</v>
      </c>
      <c r="G571">
        <v>5</v>
      </c>
      <c r="H571" s="3">
        <v>10885.65</v>
      </c>
      <c r="I571" s="3">
        <v>54428.25</v>
      </c>
      <c r="J571" s="3">
        <v>46167.25</v>
      </c>
      <c r="K571" s="3">
        <v>8261</v>
      </c>
      <c r="L571" t="s">
        <v>52</v>
      </c>
      <c r="M571" s="7">
        <f t="shared" si="8"/>
        <v>0.15177779921272502</v>
      </c>
    </row>
    <row r="572" spans="1:13" x14ac:dyDescent="0.35">
      <c r="A572" t="s">
        <v>616</v>
      </c>
      <c r="B572" s="2">
        <v>45812</v>
      </c>
      <c r="C572" t="s">
        <v>29</v>
      </c>
      <c r="D572" t="s">
        <v>20</v>
      </c>
      <c r="E572" t="s">
        <v>46</v>
      </c>
      <c r="F572" t="s">
        <v>70</v>
      </c>
      <c r="G572">
        <v>2</v>
      </c>
      <c r="H572" s="3">
        <v>2025.32</v>
      </c>
      <c r="I572" s="3">
        <v>4050.64</v>
      </c>
      <c r="J572" s="3">
        <v>3326.42</v>
      </c>
      <c r="K572" s="3">
        <v>724.22</v>
      </c>
      <c r="L572" t="s">
        <v>17</v>
      </c>
      <c r="M572" s="7">
        <f t="shared" si="8"/>
        <v>0.1787914996148757</v>
      </c>
    </row>
    <row r="573" spans="1:13" x14ac:dyDescent="0.35">
      <c r="A573" t="s">
        <v>617</v>
      </c>
      <c r="B573" s="2">
        <v>45983</v>
      </c>
      <c r="C573" t="s">
        <v>19</v>
      </c>
      <c r="D573" t="s">
        <v>14</v>
      </c>
      <c r="E573" t="s">
        <v>21</v>
      </c>
      <c r="F573" t="s">
        <v>22</v>
      </c>
      <c r="G573">
        <v>13</v>
      </c>
      <c r="H573" s="3">
        <v>10135.23</v>
      </c>
      <c r="I573" s="3">
        <v>131757.99</v>
      </c>
      <c r="J573" s="3">
        <v>99213.47</v>
      </c>
      <c r="K573" s="3">
        <v>32544.52</v>
      </c>
      <c r="L573" t="s">
        <v>17</v>
      </c>
      <c r="M573" s="7">
        <f t="shared" si="8"/>
        <v>0.24700225011022103</v>
      </c>
    </row>
    <row r="574" spans="1:13" x14ac:dyDescent="0.35">
      <c r="A574" t="s">
        <v>618</v>
      </c>
      <c r="B574" s="2">
        <v>45901</v>
      </c>
      <c r="C574" t="s">
        <v>29</v>
      </c>
      <c r="D574" t="s">
        <v>33</v>
      </c>
      <c r="E574" t="s">
        <v>46</v>
      </c>
      <c r="F574" t="s">
        <v>70</v>
      </c>
      <c r="G574">
        <v>12</v>
      </c>
      <c r="H574" s="3">
        <v>2428.8200000000002</v>
      </c>
      <c r="I574" s="3">
        <v>29145.84</v>
      </c>
      <c r="J574" s="3">
        <v>22770.54</v>
      </c>
      <c r="K574" s="3">
        <v>6375.3</v>
      </c>
      <c r="L574" t="s">
        <v>52</v>
      </c>
      <c r="M574" s="7">
        <f t="shared" si="8"/>
        <v>0.21873790564965703</v>
      </c>
    </row>
    <row r="575" spans="1:13" x14ac:dyDescent="0.35">
      <c r="A575" t="s">
        <v>619</v>
      </c>
      <c r="B575" s="2">
        <v>45891</v>
      </c>
      <c r="C575" t="s">
        <v>19</v>
      </c>
      <c r="D575" t="s">
        <v>36</v>
      </c>
      <c r="E575" t="s">
        <v>46</v>
      </c>
      <c r="F575" t="s">
        <v>51</v>
      </c>
      <c r="G575">
        <v>16</v>
      </c>
      <c r="H575" s="3">
        <v>3043.81</v>
      </c>
      <c r="I575" s="3">
        <v>48700.959999999999</v>
      </c>
      <c r="J575" s="3">
        <v>41396.19</v>
      </c>
      <c r="K575" s="3">
        <v>7304.77</v>
      </c>
      <c r="L575" t="s">
        <v>23</v>
      </c>
      <c r="M575" s="7">
        <f t="shared" si="8"/>
        <v>0.14999232047992483</v>
      </c>
    </row>
    <row r="576" spans="1:13" x14ac:dyDescent="0.35">
      <c r="A576" t="s">
        <v>620</v>
      </c>
      <c r="B576" s="2">
        <v>45814</v>
      </c>
      <c r="C576" t="s">
        <v>42</v>
      </c>
      <c r="D576" t="s">
        <v>44</v>
      </c>
      <c r="E576" t="s">
        <v>21</v>
      </c>
      <c r="F576" t="s">
        <v>63</v>
      </c>
      <c r="G576">
        <v>15</v>
      </c>
      <c r="H576" s="3">
        <v>7165.55</v>
      </c>
      <c r="I576" s="3">
        <v>107483.25</v>
      </c>
      <c r="J576" s="3">
        <v>85701.5</v>
      </c>
      <c r="K576" s="3">
        <v>21781.75</v>
      </c>
      <c r="L576" t="s">
        <v>17</v>
      </c>
      <c r="M576" s="7">
        <f t="shared" si="8"/>
        <v>0.2026525063207523</v>
      </c>
    </row>
    <row r="577" spans="1:13" x14ac:dyDescent="0.35">
      <c r="A577" t="s">
        <v>621</v>
      </c>
      <c r="B577" s="2">
        <v>45950</v>
      </c>
      <c r="C577" t="s">
        <v>42</v>
      </c>
      <c r="D577" t="s">
        <v>33</v>
      </c>
      <c r="E577" t="s">
        <v>46</v>
      </c>
      <c r="F577" t="s">
        <v>47</v>
      </c>
      <c r="G577">
        <v>19</v>
      </c>
      <c r="H577" s="3">
        <v>617.29</v>
      </c>
      <c r="I577" s="3">
        <v>11728.51</v>
      </c>
      <c r="J577" s="3">
        <v>9480.08</v>
      </c>
      <c r="K577" s="3">
        <v>2248.4299999999998</v>
      </c>
      <c r="L577" t="s">
        <v>23</v>
      </c>
      <c r="M577" s="7">
        <f t="shared" si="8"/>
        <v>0.19170636338290198</v>
      </c>
    </row>
    <row r="578" spans="1:13" x14ac:dyDescent="0.35">
      <c r="A578" t="s">
        <v>622</v>
      </c>
      <c r="B578" s="2">
        <v>45760</v>
      </c>
      <c r="C578" t="s">
        <v>13</v>
      </c>
      <c r="D578" t="s">
        <v>20</v>
      </c>
      <c r="E578" t="s">
        <v>26</v>
      </c>
      <c r="F578" t="s">
        <v>49</v>
      </c>
      <c r="G578">
        <v>19</v>
      </c>
      <c r="H578" s="3">
        <v>1604.8</v>
      </c>
      <c r="I578" s="3">
        <v>30491.200000000001</v>
      </c>
      <c r="J578" s="3">
        <v>22991.73</v>
      </c>
      <c r="K578" s="3">
        <v>7499.47</v>
      </c>
      <c r="L578" t="s">
        <v>23</v>
      </c>
      <c r="M578" s="7">
        <f t="shared" ref="M578:M601" si="9">K578/I578</f>
        <v>0.24595522642598522</v>
      </c>
    </row>
    <row r="579" spans="1:13" x14ac:dyDescent="0.35">
      <c r="A579" t="s">
        <v>623</v>
      </c>
      <c r="B579" s="2">
        <v>45989</v>
      </c>
      <c r="C579" t="s">
        <v>42</v>
      </c>
      <c r="D579" t="s">
        <v>39</v>
      </c>
      <c r="E579" t="s">
        <v>15</v>
      </c>
      <c r="F579" t="s">
        <v>37</v>
      </c>
      <c r="G579">
        <v>19</v>
      </c>
      <c r="H579" s="3">
        <v>321.39999999999998</v>
      </c>
      <c r="I579" s="3">
        <v>6106.6</v>
      </c>
      <c r="J579" s="3">
        <v>3904.94</v>
      </c>
      <c r="K579" s="3">
        <v>2201.66</v>
      </c>
      <c r="L579" t="s">
        <v>52</v>
      </c>
      <c r="M579" s="7">
        <f t="shared" si="9"/>
        <v>0.36053777879671173</v>
      </c>
    </row>
    <row r="580" spans="1:13" x14ac:dyDescent="0.35">
      <c r="A580" t="s">
        <v>624</v>
      </c>
      <c r="B580" s="2">
        <v>45856</v>
      </c>
      <c r="C580" t="s">
        <v>29</v>
      </c>
      <c r="D580" t="s">
        <v>30</v>
      </c>
      <c r="E580" t="s">
        <v>26</v>
      </c>
      <c r="F580" t="s">
        <v>31</v>
      </c>
      <c r="G580">
        <v>20</v>
      </c>
      <c r="H580" s="3">
        <v>49023.9</v>
      </c>
      <c r="I580" s="3">
        <v>980478</v>
      </c>
      <c r="J580" s="3">
        <v>761473.95</v>
      </c>
      <c r="K580" s="3">
        <v>219004.05</v>
      </c>
      <c r="L580" t="s">
        <v>17</v>
      </c>
      <c r="M580" s="7">
        <f t="shared" si="9"/>
        <v>0.22336457319797076</v>
      </c>
    </row>
    <row r="581" spans="1:13" x14ac:dyDescent="0.35">
      <c r="A581" t="s">
        <v>625</v>
      </c>
      <c r="B581" s="2">
        <v>45852</v>
      </c>
      <c r="C581" t="s">
        <v>29</v>
      </c>
      <c r="D581" t="s">
        <v>33</v>
      </c>
      <c r="E581" t="s">
        <v>15</v>
      </c>
      <c r="F581" t="s">
        <v>37</v>
      </c>
      <c r="G581">
        <v>6</v>
      </c>
      <c r="H581" s="3">
        <v>326.37</v>
      </c>
      <c r="I581" s="3">
        <v>1958.22</v>
      </c>
      <c r="J581" s="3">
        <v>1307.6600000000001</v>
      </c>
      <c r="K581" s="3">
        <v>650.55999999999995</v>
      </c>
      <c r="L581" t="s">
        <v>23</v>
      </c>
      <c r="M581" s="7">
        <f t="shared" si="9"/>
        <v>0.33222007741724624</v>
      </c>
    </row>
    <row r="582" spans="1:13" x14ac:dyDescent="0.35">
      <c r="A582" t="s">
        <v>626</v>
      </c>
      <c r="B582" s="2">
        <v>45702</v>
      </c>
      <c r="C582" t="s">
        <v>13</v>
      </c>
      <c r="D582" t="s">
        <v>39</v>
      </c>
      <c r="E582" t="s">
        <v>26</v>
      </c>
      <c r="F582" t="s">
        <v>65</v>
      </c>
      <c r="G582">
        <v>3</v>
      </c>
      <c r="H582" s="3">
        <v>746.87</v>
      </c>
      <c r="I582" s="3">
        <v>2240.61</v>
      </c>
      <c r="J582" s="3">
        <v>1786.68</v>
      </c>
      <c r="K582" s="3">
        <v>453.93</v>
      </c>
      <c r="L582" t="s">
        <v>52</v>
      </c>
      <c r="M582" s="7">
        <f t="shared" si="9"/>
        <v>0.20259215124452715</v>
      </c>
    </row>
    <row r="583" spans="1:13" x14ac:dyDescent="0.35">
      <c r="A583" t="s">
        <v>627</v>
      </c>
      <c r="B583" s="2">
        <v>45790</v>
      </c>
      <c r="C583" t="s">
        <v>29</v>
      </c>
      <c r="D583" t="s">
        <v>25</v>
      </c>
      <c r="E583" t="s">
        <v>15</v>
      </c>
      <c r="F583" t="s">
        <v>16</v>
      </c>
      <c r="G583">
        <v>12</v>
      </c>
      <c r="H583" s="3">
        <v>257.92</v>
      </c>
      <c r="I583" s="3">
        <v>3095.04</v>
      </c>
      <c r="J583" s="3">
        <v>2658.57</v>
      </c>
      <c r="K583" s="3">
        <v>436.47</v>
      </c>
      <c r="L583" t="s">
        <v>17</v>
      </c>
      <c r="M583" s="7">
        <f t="shared" si="9"/>
        <v>0.14102241004962779</v>
      </c>
    </row>
    <row r="584" spans="1:13" x14ac:dyDescent="0.35">
      <c r="A584" t="s">
        <v>628</v>
      </c>
      <c r="B584" s="2">
        <v>45808</v>
      </c>
      <c r="C584" t="s">
        <v>29</v>
      </c>
      <c r="D584" t="s">
        <v>44</v>
      </c>
      <c r="E584" t="s">
        <v>46</v>
      </c>
      <c r="F584" t="s">
        <v>51</v>
      </c>
      <c r="G584">
        <v>3</v>
      </c>
      <c r="H584" s="3">
        <v>3496.05</v>
      </c>
      <c r="I584" s="3">
        <v>10488.15</v>
      </c>
      <c r="J584" s="3">
        <v>8063.18</v>
      </c>
      <c r="K584" s="3">
        <v>2424.9699999999998</v>
      </c>
      <c r="L584" t="s">
        <v>17</v>
      </c>
      <c r="M584" s="7">
        <f t="shared" si="9"/>
        <v>0.23121046133016784</v>
      </c>
    </row>
    <row r="585" spans="1:13" x14ac:dyDescent="0.35">
      <c r="A585" t="s">
        <v>629</v>
      </c>
      <c r="B585" s="2">
        <v>45771</v>
      </c>
      <c r="C585" t="s">
        <v>19</v>
      </c>
      <c r="D585" t="s">
        <v>20</v>
      </c>
      <c r="E585" t="s">
        <v>21</v>
      </c>
      <c r="F585" t="s">
        <v>63</v>
      </c>
      <c r="G585">
        <v>3</v>
      </c>
      <c r="H585" s="3">
        <v>7063.92</v>
      </c>
      <c r="I585" s="3">
        <v>21191.759999999998</v>
      </c>
      <c r="J585" s="3">
        <v>16317.44</v>
      </c>
      <c r="K585" s="3">
        <v>4874.32</v>
      </c>
      <c r="L585" t="s">
        <v>17</v>
      </c>
      <c r="M585" s="7">
        <f t="shared" si="9"/>
        <v>0.23001015489039137</v>
      </c>
    </row>
    <row r="586" spans="1:13" x14ac:dyDescent="0.35">
      <c r="A586" t="s">
        <v>630</v>
      </c>
      <c r="B586" s="2">
        <v>45866</v>
      </c>
      <c r="C586" t="s">
        <v>19</v>
      </c>
      <c r="D586" t="s">
        <v>68</v>
      </c>
      <c r="E586" t="s">
        <v>15</v>
      </c>
      <c r="F586" t="s">
        <v>34</v>
      </c>
      <c r="G586">
        <v>15</v>
      </c>
      <c r="H586" s="3">
        <v>117.37</v>
      </c>
      <c r="I586" s="3">
        <v>1760.55</v>
      </c>
      <c r="J586" s="3">
        <v>1118.8800000000001</v>
      </c>
      <c r="K586" s="3">
        <v>641.66999999999996</v>
      </c>
      <c r="L586" t="s">
        <v>23</v>
      </c>
      <c r="M586" s="7">
        <f t="shared" si="9"/>
        <v>0.36447132998210785</v>
      </c>
    </row>
    <row r="587" spans="1:13" x14ac:dyDescent="0.35">
      <c r="A587" t="s">
        <v>631</v>
      </c>
      <c r="B587" s="2">
        <v>45884</v>
      </c>
      <c r="C587" t="s">
        <v>19</v>
      </c>
      <c r="D587" t="s">
        <v>39</v>
      </c>
      <c r="E587" t="s">
        <v>46</v>
      </c>
      <c r="F587" t="s">
        <v>51</v>
      </c>
      <c r="G587">
        <v>7</v>
      </c>
      <c r="H587" s="3">
        <v>2998.51</v>
      </c>
      <c r="I587" s="3">
        <v>20989.57</v>
      </c>
      <c r="J587" s="3">
        <v>14327.24</v>
      </c>
      <c r="K587" s="3">
        <v>6662.33</v>
      </c>
      <c r="L587" t="s">
        <v>23</v>
      </c>
      <c r="M587" s="7">
        <f t="shared" si="9"/>
        <v>0.31741145721422592</v>
      </c>
    </row>
    <row r="588" spans="1:13" x14ac:dyDescent="0.35">
      <c r="A588" t="s">
        <v>632</v>
      </c>
      <c r="B588" s="2">
        <v>45807</v>
      </c>
      <c r="C588" t="s">
        <v>42</v>
      </c>
      <c r="D588" t="s">
        <v>44</v>
      </c>
      <c r="E588" t="s">
        <v>15</v>
      </c>
      <c r="F588" t="s">
        <v>37</v>
      </c>
      <c r="G588">
        <v>2</v>
      </c>
      <c r="H588" s="3">
        <v>362.17</v>
      </c>
      <c r="I588" s="3">
        <v>724.34</v>
      </c>
      <c r="J588" s="3">
        <v>558.82000000000005</v>
      </c>
      <c r="K588" s="3">
        <v>165.52</v>
      </c>
      <c r="L588" t="s">
        <v>23</v>
      </c>
      <c r="M588" s="7">
        <f t="shared" si="9"/>
        <v>0.22851147251290832</v>
      </c>
    </row>
    <row r="589" spans="1:13" x14ac:dyDescent="0.35">
      <c r="A589" t="s">
        <v>633</v>
      </c>
      <c r="B589" s="2">
        <v>45886</v>
      </c>
      <c r="C589" t="s">
        <v>13</v>
      </c>
      <c r="D589" t="s">
        <v>20</v>
      </c>
      <c r="E589" t="s">
        <v>46</v>
      </c>
      <c r="F589" t="s">
        <v>70</v>
      </c>
      <c r="G589">
        <v>18</v>
      </c>
      <c r="H589" s="3">
        <v>2177.61</v>
      </c>
      <c r="I589" s="3">
        <v>39196.980000000003</v>
      </c>
      <c r="J589" s="3">
        <v>30830</v>
      </c>
      <c r="K589" s="3">
        <v>8366.98</v>
      </c>
      <c r="L589" t="s">
        <v>52</v>
      </c>
      <c r="M589" s="7">
        <f t="shared" si="9"/>
        <v>0.21345981246514398</v>
      </c>
    </row>
    <row r="590" spans="1:13" x14ac:dyDescent="0.35">
      <c r="A590" t="s">
        <v>634</v>
      </c>
      <c r="B590" s="2">
        <v>45838</v>
      </c>
      <c r="C590" t="s">
        <v>29</v>
      </c>
      <c r="D590" t="s">
        <v>54</v>
      </c>
      <c r="E590" t="s">
        <v>21</v>
      </c>
      <c r="F590" t="s">
        <v>63</v>
      </c>
      <c r="G590">
        <v>17</v>
      </c>
      <c r="H590" s="3">
        <v>6786.75</v>
      </c>
      <c r="I590" s="3">
        <v>115374.75</v>
      </c>
      <c r="J590" s="3">
        <v>80914.81</v>
      </c>
      <c r="K590" s="3">
        <v>34459.94</v>
      </c>
      <c r="L590" t="s">
        <v>23</v>
      </c>
      <c r="M590" s="7">
        <f t="shared" si="9"/>
        <v>0.29867835033228679</v>
      </c>
    </row>
    <row r="591" spans="1:13" x14ac:dyDescent="0.35">
      <c r="A591" t="s">
        <v>635</v>
      </c>
      <c r="B591" s="2">
        <v>45769</v>
      </c>
      <c r="C591" t="s">
        <v>13</v>
      </c>
      <c r="D591" t="s">
        <v>25</v>
      </c>
      <c r="E591" t="s">
        <v>46</v>
      </c>
      <c r="F591" t="s">
        <v>70</v>
      </c>
      <c r="G591">
        <v>7</v>
      </c>
      <c r="H591" s="3">
        <v>2264.5100000000002</v>
      </c>
      <c r="I591" s="3">
        <v>15851.57</v>
      </c>
      <c r="J591" s="3">
        <v>11692.46</v>
      </c>
      <c r="K591" s="3">
        <v>4159.1099999999997</v>
      </c>
      <c r="L591" t="s">
        <v>23</v>
      </c>
      <c r="M591" s="7">
        <f t="shared" si="9"/>
        <v>0.26237842686875812</v>
      </c>
    </row>
    <row r="592" spans="1:13" x14ac:dyDescent="0.35">
      <c r="A592" t="s">
        <v>636</v>
      </c>
      <c r="B592" s="2">
        <v>45984</v>
      </c>
      <c r="C592" t="s">
        <v>42</v>
      </c>
      <c r="D592" t="s">
        <v>33</v>
      </c>
      <c r="E592" t="s">
        <v>15</v>
      </c>
      <c r="F592" t="s">
        <v>16</v>
      </c>
      <c r="G592">
        <v>8</v>
      </c>
      <c r="H592" s="3">
        <v>229.22</v>
      </c>
      <c r="I592" s="3">
        <v>1833.76</v>
      </c>
      <c r="J592" s="3">
        <v>1444.4</v>
      </c>
      <c r="K592" s="3">
        <v>389.36</v>
      </c>
      <c r="L592" t="s">
        <v>52</v>
      </c>
      <c r="M592" s="7">
        <f t="shared" si="9"/>
        <v>0.21232876712328769</v>
      </c>
    </row>
    <row r="593" spans="1:13" x14ac:dyDescent="0.35">
      <c r="A593" t="s">
        <v>637</v>
      </c>
      <c r="B593" s="2">
        <v>45954</v>
      </c>
      <c r="C593" t="s">
        <v>42</v>
      </c>
      <c r="D593" t="s">
        <v>14</v>
      </c>
      <c r="E593" t="s">
        <v>15</v>
      </c>
      <c r="F593" t="s">
        <v>34</v>
      </c>
      <c r="G593">
        <v>2</v>
      </c>
      <c r="H593" s="3">
        <v>116.18</v>
      </c>
      <c r="I593" s="3">
        <v>232.36</v>
      </c>
      <c r="J593" s="3">
        <v>186.64</v>
      </c>
      <c r="K593" s="3">
        <v>45.72</v>
      </c>
      <c r="L593" t="s">
        <v>52</v>
      </c>
      <c r="M593" s="7">
        <f t="shared" si="9"/>
        <v>0.19676364262351523</v>
      </c>
    </row>
    <row r="594" spans="1:13" x14ac:dyDescent="0.35">
      <c r="A594" t="s">
        <v>638</v>
      </c>
      <c r="B594" s="2">
        <v>45692</v>
      </c>
      <c r="C594" t="s">
        <v>29</v>
      </c>
      <c r="D594" t="s">
        <v>30</v>
      </c>
      <c r="E594" t="s">
        <v>15</v>
      </c>
      <c r="F594" t="s">
        <v>16</v>
      </c>
      <c r="G594">
        <v>16</v>
      </c>
      <c r="H594" s="3">
        <v>259.32</v>
      </c>
      <c r="I594" s="3">
        <v>4149.12</v>
      </c>
      <c r="J594" s="3">
        <v>2683.92</v>
      </c>
      <c r="K594" s="3">
        <v>1465.2</v>
      </c>
      <c r="L594" t="s">
        <v>23</v>
      </c>
      <c r="M594" s="7">
        <f t="shared" si="9"/>
        <v>0.35313512262841279</v>
      </c>
    </row>
    <row r="595" spans="1:13" x14ac:dyDescent="0.35">
      <c r="A595" t="s">
        <v>639</v>
      </c>
      <c r="B595" s="2">
        <v>45721</v>
      </c>
      <c r="C595" t="s">
        <v>13</v>
      </c>
      <c r="D595" t="s">
        <v>25</v>
      </c>
      <c r="E595" t="s">
        <v>15</v>
      </c>
      <c r="F595" t="s">
        <v>34</v>
      </c>
      <c r="G595">
        <v>8</v>
      </c>
      <c r="H595" s="3">
        <v>108.92</v>
      </c>
      <c r="I595" s="3">
        <v>871.36</v>
      </c>
      <c r="J595" s="3">
        <v>571.54999999999995</v>
      </c>
      <c r="K595" s="3">
        <v>299.81</v>
      </c>
      <c r="L595" t="s">
        <v>23</v>
      </c>
      <c r="M595" s="7">
        <f t="shared" si="9"/>
        <v>0.34407133676092544</v>
      </c>
    </row>
    <row r="596" spans="1:13" x14ac:dyDescent="0.35">
      <c r="A596" t="s">
        <v>640</v>
      </c>
      <c r="B596" s="2">
        <v>45729</v>
      </c>
      <c r="C596" t="s">
        <v>29</v>
      </c>
      <c r="D596" t="s">
        <v>33</v>
      </c>
      <c r="E596" t="s">
        <v>21</v>
      </c>
      <c r="F596" t="s">
        <v>63</v>
      </c>
      <c r="G596">
        <v>12</v>
      </c>
      <c r="H596" s="3">
        <v>6698.87</v>
      </c>
      <c r="I596" s="3">
        <v>80386.44</v>
      </c>
      <c r="J596" s="3">
        <v>53398.45</v>
      </c>
      <c r="K596" s="3">
        <v>26987.99</v>
      </c>
      <c r="L596" t="s">
        <v>23</v>
      </c>
      <c r="M596" s="7">
        <f t="shared" si="9"/>
        <v>0.3357281402186737</v>
      </c>
    </row>
    <row r="597" spans="1:13" x14ac:dyDescent="0.35">
      <c r="A597" t="s">
        <v>641</v>
      </c>
      <c r="B597" s="2">
        <v>45795</v>
      </c>
      <c r="C597" t="s">
        <v>19</v>
      </c>
      <c r="D597" t="s">
        <v>33</v>
      </c>
      <c r="E597" t="s">
        <v>15</v>
      </c>
      <c r="F597" t="s">
        <v>37</v>
      </c>
      <c r="G597">
        <v>16</v>
      </c>
      <c r="H597" s="3">
        <v>336.76</v>
      </c>
      <c r="I597" s="3">
        <v>5388.16</v>
      </c>
      <c r="J597" s="3">
        <v>4241.8900000000003</v>
      </c>
      <c r="K597" s="3">
        <v>1146.27</v>
      </c>
      <c r="L597" t="s">
        <v>52</v>
      </c>
      <c r="M597" s="7">
        <f t="shared" si="9"/>
        <v>0.21273867145741776</v>
      </c>
    </row>
    <row r="598" spans="1:13" x14ac:dyDescent="0.35">
      <c r="A598" t="s">
        <v>642</v>
      </c>
      <c r="B598" s="2">
        <v>45929</v>
      </c>
      <c r="C598" t="s">
        <v>29</v>
      </c>
      <c r="D598" t="s">
        <v>33</v>
      </c>
      <c r="E598" t="s">
        <v>26</v>
      </c>
      <c r="F598" t="s">
        <v>27</v>
      </c>
      <c r="G598">
        <v>20</v>
      </c>
      <c r="H598" s="3">
        <v>11793.71</v>
      </c>
      <c r="I598" s="3">
        <v>235874.2</v>
      </c>
      <c r="J598" s="3">
        <v>193521.66</v>
      </c>
      <c r="K598" s="3">
        <v>42352.54</v>
      </c>
      <c r="L598" t="s">
        <v>52</v>
      </c>
      <c r="M598" s="7">
        <f t="shared" si="9"/>
        <v>0.17955562753365989</v>
      </c>
    </row>
    <row r="599" spans="1:13" x14ac:dyDescent="0.35">
      <c r="A599" t="s">
        <v>643</v>
      </c>
      <c r="B599" s="2">
        <v>45870</v>
      </c>
      <c r="C599" t="s">
        <v>29</v>
      </c>
      <c r="D599" t="s">
        <v>30</v>
      </c>
      <c r="E599" t="s">
        <v>26</v>
      </c>
      <c r="F599" t="s">
        <v>27</v>
      </c>
      <c r="G599">
        <v>9</v>
      </c>
      <c r="H599" s="3">
        <v>13397.58</v>
      </c>
      <c r="I599" s="3">
        <v>120578.22</v>
      </c>
      <c r="J599" s="3">
        <v>82257.279999999999</v>
      </c>
      <c r="K599" s="3">
        <v>38320.94</v>
      </c>
      <c r="L599" t="s">
        <v>17</v>
      </c>
      <c r="M599" s="7">
        <f t="shared" si="9"/>
        <v>0.31780980014466959</v>
      </c>
    </row>
    <row r="600" spans="1:13" x14ac:dyDescent="0.35">
      <c r="A600" t="s">
        <v>644</v>
      </c>
      <c r="B600" s="2">
        <v>45899</v>
      </c>
      <c r="C600" t="s">
        <v>19</v>
      </c>
      <c r="D600" t="s">
        <v>33</v>
      </c>
      <c r="E600" t="s">
        <v>21</v>
      </c>
      <c r="F600" t="s">
        <v>63</v>
      </c>
      <c r="G600">
        <v>7</v>
      </c>
      <c r="H600" s="3">
        <v>6606</v>
      </c>
      <c r="I600" s="3">
        <v>46242</v>
      </c>
      <c r="J600" s="3">
        <v>30004.57</v>
      </c>
      <c r="K600" s="3">
        <v>16237.43</v>
      </c>
      <c r="L600" t="s">
        <v>52</v>
      </c>
      <c r="M600" s="7">
        <f t="shared" si="9"/>
        <v>0.35114030535011465</v>
      </c>
    </row>
    <row r="601" spans="1:13" x14ac:dyDescent="0.35">
      <c r="A601" t="s">
        <v>645</v>
      </c>
      <c r="B601" s="2">
        <v>45769</v>
      </c>
      <c r="C601" t="s">
        <v>19</v>
      </c>
      <c r="D601" t="s">
        <v>14</v>
      </c>
      <c r="E601" t="s">
        <v>21</v>
      </c>
      <c r="F601" t="s">
        <v>22</v>
      </c>
      <c r="G601">
        <v>9</v>
      </c>
      <c r="H601" s="3">
        <v>11182.74</v>
      </c>
      <c r="I601" s="3">
        <v>100644.66</v>
      </c>
      <c r="J601" s="3">
        <v>70008.009999999995</v>
      </c>
      <c r="K601" s="3">
        <v>30636.65</v>
      </c>
      <c r="L601" t="s">
        <v>23</v>
      </c>
      <c r="M601" s="7">
        <f t="shared" si="9"/>
        <v>0.3044041283462034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CC101-24B4-49DA-B854-59185127775D}">
  <dimension ref="A1:S7"/>
  <sheetViews>
    <sheetView tabSelected="1" zoomScale="55" zoomScaleNormal="96" workbookViewId="0">
      <selection activeCell="T28" sqref="T28"/>
    </sheetView>
  </sheetViews>
  <sheetFormatPr defaultRowHeight="14.5" x14ac:dyDescent="0.35"/>
  <cols>
    <col min="1" max="1" width="11.7265625" bestFit="1" customWidth="1"/>
    <col min="2" max="2" width="13.36328125" bestFit="1" customWidth="1"/>
  </cols>
  <sheetData>
    <row r="1" spans="1:19" ht="18.5" x14ac:dyDescent="0.45">
      <c r="A1" s="12" t="s">
        <v>646</v>
      </c>
      <c r="B1" s="12"/>
      <c r="C1" s="12"/>
      <c r="D1" s="12"/>
      <c r="E1" s="12"/>
      <c r="F1" s="12"/>
      <c r="G1" s="12"/>
      <c r="H1" s="12"/>
      <c r="I1" s="12"/>
      <c r="J1" s="12"/>
      <c r="K1" s="12"/>
      <c r="L1" s="12"/>
      <c r="M1" s="12"/>
      <c r="N1" s="12"/>
      <c r="O1" s="12"/>
      <c r="P1" s="12"/>
      <c r="Q1" s="12"/>
      <c r="R1" s="12"/>
      <c r="S1" s="12"/>
    </row>
    <row r="4" spans="1:19" x14ac:dyDescent="0.35">
      <c r="B4" s="3"/>
    </row>
    <row r="5" spans="1:19" x14ac:dyDescent="0.35">
      <c r="B5" s="3"/>
    </row>
    <row r="6" spans="1:19" x14ac:dyDescent="0.35">
      <c r="B6" s="4"/>
    </row>
    <row r="7" spans="1:19" x14ac:dyDescent="0.35">
      <c r="B7" s="10"/>
      <c r="E7" s="5"/>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0055202D-774B-49E8-8E6F-F39C9C497A5F}">
  <ds:schemaRefs/>
</ds:datastoreItem>
</file>

<file path=customXml/itemProps2.xml><?xml version="1.0" encoding="utf-8"?>
<ds:datastoreItem xmlns:ds="http://schemas.openxmlformats.org/officeDocument/2006/customXml" ds:itemID="{B182E7C8-7CF4-4B01-899D-E6EA08FEF9B1}">
  <ds:schemaRefs/>
</ds:datastoreItem>
</file>

<file path=customXml/itemProps3.xml><?xml version="1.0" encoding="utf-8"?>
<ds:datastoreItem xmlns:ds="http://schemas.openxmlformats.org/officeDocument/2006/customXml" ds:itemID="{EFBC276B-D959-4217-86FF-20CA6161F1EA}">
  <ds:schemaRefs/>
</ds:datastoreItem>
</file>

<file path=customXml/itemProps4.xml><?xml version="1.0" encoding="utf-8"?>
<ds:datastoreItem xmlns:ds="http://schemas.openxmlformats.org/officeDocument/2006/customXml" ds:itemID="{8A9BB2FF-A13F-4123-892A-E579CD2E9053}">
  <ds:schemaRefs/>
</ds:datastoreItem>
</file>

<file path=customXml/itemProps5.xml><?xml version="1.0" encoding="utf-8"?>
<ds:datastoreItem xmlns:ds="http://schemas.openxmlformats.org/officeDocument/2006/customXml" ds:itemID="{D88A117E-4F30-4C13-95B8-7DA65EE05635}">
  <ds:schemaRefs/>
</ds:datastoreItem>
</file>

<file path=customXml/itemProps6.xml><?xml version="1.0" encoding="utf-8"?>
<ds:datastoreItem xmlns:ds="http://schemas.openxmlformats.org/officeDocument/2006/customXml" ds:itemID="{3E3B8A16-EE66-49A9-B75A-588546B9BE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 aur analysis</vt:lpstr>
      <vt:lpstr>original sales data</vt:lpstr>
      <vt:lpstr>final interactive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37shubham12@gmail.com</cp:lastModifiedBy>
  <dcterms:created xsi:type="dcterms:W3CDTF">2026-10-14T14:46:22Z</dcterms:created>
  <dcterms:modified xsi:type="dcterms:W3CDTF">2026-10-16T15:16:20Z</dcterms:modified>
</cp:coreProperties>
</file>